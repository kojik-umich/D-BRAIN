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D-BRAIN\in\"/>
    </mc:Choice>
  </mc:AlternateContent>
  <bookViews>
    <workbookView xWindow="0" yWindow="0" windowWidth="8580" windowHeight="2280"/>
  </bookViews>
  <sheets>
    <sheet name="d4b1_in" sheetId="1" r:id="rId1"/>
  </sheets>
  <functionGroups builtInGroupCount="18"/>
  <definedNames>
    <definedName name="Ball_D">d4b1_in!$G$40</definedName>
    <definedName name="Ball_E">d4b1_in!$D$40</definedName>
    <definedName name="Ball_num">d4b1_in!$B$40</definedName>
    <definedName name="Ball_por">d4b1_in!$E$40</definedName>
    <definedName name="Ball_rho">d4b1_in!$C$40</definedName>
    <definedName name="Ball_rms">d4b1_in!$F$40</definedName>
    <definedName name="ball_Z">d4b1_in!$B$20</definedName>
    <definedName name="BL_D">d4b1_in!$F$28</definedName>
    <definedName name="clr">d4b1_in!$H$28</definedName>
    <definedName name="IR_E">d4b1_in!$C$53</definedName>
    <definedName name="IR_h_n">d4b1_in!$L$53</definedName>
    <definedName name="IR_h_p">d4b1_in!$M$53</definedName>
    <definedName name="IR_Ix">d4b1_in!$O$53</definedName>
    <definedName name="IR_Iz">d4b1_in!$P$53</definedName>
    <definedName name="IR_m">d4b1_in!$N$53</definedName>
    <definedName name="IR_por">d4b1_in!$D$53</definedName>
    <definedName name="IR_rho">d4b1_in!$B$53</definedName>
    <definedName name="IR_rms">d4b1_in!$E$53</definedName>
    <definedName name="IR_ROx">d4b1_in!$G$31</definedName>
    <definedName name="IR_ROx_n">d4b1_in!$H$53</definedName>
    <definedName name="IR_ROx_p">d4b1_in!$I$53</definedName>
    <definedName name="IR_Rpcd_n">d4b1_in!$J$53</definedName>
    <definedName name="IR_Rpcd_p">d4b1_in!$K$53</definedName>
    <definedName name="IR_Rr_n">d4b1_in!$F$53</definedName>
    <definedName name="IR_Rr_p">d4b1_in!$G$53</definedName>
    <definedName name="IRgv_r">d4b1_in!$F$31</definedName>
    <definedName name="OR_E">d4b1_in!$C$54</definedName>
    <definedName name="OR_h_n">d4b1_in!$L$54</definedName>
    <definedName name="OR_h_p">d4b1_in!$M$54</definedName>
    <definedName name="OR_Ix">d4b1_in!$O$54</definedName>
    <definedName name="OR_Iz">d4b1_in!$P$54</definedName>
    <definedName name="OR_m">d4b1_in!$N$54</definedName>
    <definedName name="OR_por">d4b1_in!$D$54</definedName>
    <definedName name="OR_rho">d4b1_in!$B$54</definedName>
    <definedName name="OR_rms">d4b1_in!$E$54</definedName>
    <definedName name="OR_ROx_n">d4b1_in!$H$54</definedName>
    <definedName name="OR_ROx_p">d4b1_in!$I$54</definedName>
    <definedName name="OR_Rpcd_n">d4b1_in!$J$54</definedName>
    <definedName name="OR_Rpcd_p">d4b1_in!$K$54</definedName>
    <definedName name="OR_Rr_n">d4b1_in!$F$54</definedName>
    <definedName name="OR_Rr_p">d4b1_in!$G$54</definedName>
    <definedName name="pcd">d4b1_in!$G$28</definedName>
    <definedName name="rho_iROx">d4b1_in!$G$31</definedName>
    <definedName name="rho_oROx">d4b1_in!$G$32</definedName>
    <definedName name="SBall_E">d4b1_in!$C$28</definedName>
    <definedName name="SBall_por">d4b1_in!$D$28</definedName>
    <definedName name="SBall_rho">d4b1_in!$B$28</definedName>
    <definedName name="SBall_rms">d4b1_in!$E$28</definedName>
    <definedName name="SIR_E">d4b1_in!$C$31</definedName>
    <definedName name="SIR_h">d4b1_in!$H$31</definedName>
    <definedName name="SIR_Ix">d4b1_in!$J$31</definedName>
    <definedName name="sIR_Iy">d4b1_in!$J$31</definedName>
    <definedName name="sIR_Iz">d4b1_in!$K$31</definedName>
    <definedName name="sIR_m">d4b1_in!$I$31</definedName>
    <definedName name="SIR_por">d4b1_in!$D$31</definedName>
    <definedName name="SIR_rho">d4b1_in!$B$31</definedName>
    <definedName name="SIR_rms">d4b1_in!$E$31</definedName>
    <definedName name="SIR_ROx">d4b1_in!$G$31</definedName>
    <definedName name="SIRgv_r">d4b1_in!$F$31</definedName>
    <definedName name="snap_den">d4b1_in!$B$63</definedName>
    <definedName name="snap_din">d4b1_in!$G$63</definedName>
    <definedName name="snap_do">d4b1_in!$F$63</definedName>
    <definedName name="snap_Gx">d4b1_in!$K$63</definedName>
    <definedName name="snap_Gy">d4b1_in!$L$63</definedName>
    <definedName name="snap_Gz">d4b1_in!$M$63</definedName>
    <definedName name="snap_h">d4b1_in!$I$63</definedName>
    <definedName name="snap_Ix">d4b1_in!$P$63</definedName>
    <definedName name="snap_Iyz">d4b1_in!$Q$63</definedName>
    <definedName name="snap_m">d4b1_in!$O$63</definedName>
    <definedName name="SOR_E">d4b1_in!$C$32</definedName>
    <definedName name="SOR_h">d4b1_in!$H$32</definedName>
    <definedName name="SOR_Ix">d4b1_in!$J$32</definedName>
    <definedName name="sOR_Iy">d4b1_in!$J$32</definedName>
    <definedName name="sOR_Iz">d4b1_in!$K$32</definedName>
    <definedName name="sOR_m">d4b1_in!$I$32</definedName>
    <definedName name="SOR_por">d4b1_in!$D$32</definedName>
    <definedName name="SOR_rho">d4b1_in!$B$32</definedName>
    <definedName name="SOR_rms">d4b1_in!$E$32</definedName>
    <definedName name="SOR_ROx">d4b1_in!$G$32</definedName>
    <definedName name="SORgv_r">d4b1_in!$F$32</definedName>
  </definedNames>
  <calcPr calcId="162913"/>
</workbook>
</file>

<file path=xl/calcChain.xml><?xml version="1.0" encoding="utf-8"?>
<calcChain xmlns="http://schemas.openxmlformats.org/spreadsheetml/2006/main">
  <c r="M63" i="1" l="1"/>
  <c r="L63" i="1"/>
  <c r="K63" i="1"/>
  <c r="C41" i="1" l="1"/>
  <c r="G50" i="1"/>
  <c r="F50" i="1"/>
  <c r="E50" i="1"/>
  <c r="D50" i="1"/>
  <c r="C50" i="1"/>
  <c r="G49" i="1"/>
  <c r="F49" i="1"/>
  <c r="E49" i="1"/>
  <c r="D49" i="1"/>
  <c r="C49" i="1"/>
  <c r="G48" i="1"/>
  <c r="F48" i="1"/>
  <c r="E48" i="1"/>
  <c r="D48" i="1"/>
  <c r="C48" i="1"/>
  <c r="G47" i="1"/>
  <c r="F47" i="1"/>
  <c r="E47" i="1"/>
  <c r="D47" i="1"/>
  <c r="C47" i="1"/>
  <c r="G46" i="1"/>
  <c r="F46" i="1"/>
  <c r="E46" i="1"/>
  <c r="D46" i="1"/>
  <c r="C46" i="1"/>
  <c r="G45" i="1"/>
  <c r="F45" i="1"/>
  <c r="E45" i="1"/>
  <c r="D45" i="1"/>
  <c r="C45" i="1"/>
  <c r="G44" i="1"/>
  <c r="F44" i="1"/>
  <c r="E44" i="1"/>
  <c r="D44" i="1"/>
  <c r="C44" i="1"/>
  <c r="G43" i="1"/>
  <c r="F43" i="1"/>
  <c r="E43" i="1"/>
  <c r="D43" i="1"/>
  <c r="C43" i="1"/>
  <c r="G42" i="1"/>
  <c r="F42" i="1"/>
  <c r="E42" i="1"/>
  <c r="D42" i="1"/>
  <c r="C42" i="1"/>
  <c r="G41" i="1"/>
  <c r="F41" i="1"/>
  <c r="E41" i="1"/>
  <c r="D41" i="1"/>
  <c r="G40" i="1"/>
  <c r="F40" i="1"/>
  <c r="E40" i="1"/>
  <c r="D40" i="1"/>
  <c r="C40" i="1"/>
  <c r="M54" i="1"/>
  <c r="L54" i="1"/>
  <c r="L53" i="1"/>
  <c r="M53" i="1"/>
  <c r="K54" i="1"/>
  <c r="J54" i="1" s="1"/>
  <c r="K53" i="1"/>
  <c r="J53" i="1" s="1"/>
  <c r="H54" i="1"/>
  <c r="I54" i="1"/>
  <c r="H53" i="1"/>
  <c r="I53" i="1"/>
  <c r="F54" i="1"/>
  <c r="G54" i="1"/>
  <c r="F53" i="1"/>
  <c r="G53" i="1"/>
  <c r="E54" i="1"/>
  <c r="E53" i="1"/>
  <c r="D54" i="1"/>
  <c r="D53" i="1"/>
  <c r="C54" i="1"/>
  <c r="C53" i="1"/>
  <c r="B54" i="1"/>
  <c r="B53" i="1"/>
  <c r="Q63" i="1" l="1"/>
  <c r="P63" i="1"/>
  <c r="O63" i="1"/>
  <c r="I31" i="1" l="1"/>
  <c r="N53" i="1" s="1"/>
  <c r="I32" i="1"/>
  <c r="N54" i="1" s="1"/>
  <c r="K32" i="1" l="1"/>
  <c r="P54" i="1" s="1"/>
  <c r="K31" i="1"/>
  <c r="P53" i="1" s="1"/>
  <c r="J32" i="1"/>
  <c r="O54" i="1" s="1"/>
  <c r="J31" i="1"/>
  <c r="O53" i="1" s="1"/>
</calcChain>
</file>

<file path=xl/sharedStrings.xml><?xml version="1.0" encoding="utf-8"?>
<sst xmlns="http://schemas.openxmlformats.org/spreadsheetml/2006/main" count="223" uniqueCount="187">
  <si>
    <t>% *************************************************************</t>
  </si>
  <si>
    <t>%  4点接触玉軸受動解析プログラム（d4b）入力ファイル</t>
  </si>
  <si>
    <t xml:space="preserve">% ■入力ファイルの書式について </t>
  </si>
  <si>
    <t>% ├ 各行の1列目（A列）に$$で始まる文字列が入力されている行のみ読み込みます．</t>
  </si>
  <si>
    <t>% ├ 1列目に"$$"がない行はコメントを書き込むことができます．</t>
  </si>
  <si>
    <t>% └ 大文字・小文字は区別します．</t>
  </si>
  <si>
    <t>$$comment</t>
  </si>
  <si>
    <t>名番：50BSWZ02</t>
  </si>
  <si>
    <t>[転動体設定]</t>
  </si>
  <si>
    <t>玉数</t>
  </si>
  <si>
    <t>$$BallNum</t>
  </si>
  <si>
    <t>[保持器設定]</t>
  </si>
  <si>
    <t>[転がり摩擦理論]</t>
  </si>
  <si>
    <t>$$RollingResistance</t>
  </si>
  <si>
    <t>[油膜計算理論]</t>
  </si>
  <si>
    <t>0:油膜なし，1:HamrockDowsonの式</t>
  </si>
  <si>
    <t>$$FilmThickness</t>
  </si>
  <si>
    <t>[金属接触摩擦計算]</t>
  </si>
  <si>
    <t>0:クーロン摩擦なし，1:タンジェントカーブ</t>
  </si>
  <si>
    <t>滑り率に対する傾き（使用しない場合は０）</t>
  </si>
  <si>
    <t>密度[kg/m^3]</t>
  </si>
  <si>
    <t>ヤング率[Pa]</t>
  </si>
  <si>
    <t>ポアソン比</t>
  </si>
  <si>
    <t>粗さrms[m]</t>
  </si>
  <si>
    <t>玉径[m]</t>
  </si>
  <si>
    <t>玉PCD[m]</t>
  </si>
  <si>
    <t>溝R[m]</t>
  </si>
  <si>
    <t>肩高さ[m]</t>
  </si>
  <si>
    <t>重量[kg]</t>
  </si>
  <si>
    <t>[保持器（冠型）]</t>
  </si>
  <si>
    <t>ヤング率</t>
  </si>
  <si>
    <t>面接触k[N/m]</t>
  </si>
  <si>
    <t>エッジ内側k[N/m]</t>
  </si>
  <si>
    <t>エッジ外側k[N/m]</t>
  </si>
  <si>
    <t>開口部接触k[N/m]</t>
  </si>
  <si>
    <t>角内側接触k[N/m]</t>
  </si>
  <si>
    <t>角外側接触k[N/m]</t>
  </si>
  <si>
    <t>$$SnapCage</t>
  </si>
  <si>
    <t>[油物性]</t>
  </si>
  <si>
    <t>圧力粘度係数[mm2/kgf]</t>
  </si>
  <si>
    <t>温度粘度係数[1/K]</t>
  </si>
  <si>
    <t>油熱伝導率[W/(K*m)]</t>
  </si>
  <si>
    <t>粘度[Pa*s]</t>
  </si>
  <si>
    <t>メニスカス長さ[m]</t>
  </si>
  <si>
    <t>$$Oil</t>
  </si>
  <si>
    <t>[内外輪接触]</t>
  </si>
  <si>
    <t>摩擦係数</t>
  </si>
  <si>
    <t>減衰比</t>
  </si>
  <si>
    <t>$$ContaBI</t>
  </si>
  <si>
    <t>$$ContaBO</t>
  </si>
  <si>
    <t>[玉保持器接触]</t>
  </si>
  <si>
    <t>摩擦係数μ</t>
  </si>
  <si>
    <t>減衰比c</t>
  </si>
  <si>
    <t>$$ContaBC</t>
  </si>
  <si>
    <t>[重力]</t>
  </si>
  <si>
    <t>x方向[m/s^2]</t>
  </si>
  <si>
    <t>y方向[m/s^2]</t>
  </si>
  <si>
    <t>z方向[m/s^2]</t>
  </si>
  <si>
    <t>$$Gravity</t>
  </si>
  <si>
    <t>[動解析の境界条件]</t>
  </si>
  <si>
    <t>[動解析の境界値]</t>
  </si>
  <si>
    <t>x[mm]</t>
  </si>
  <si>
    <t>y[mm]</t>
  </si>
  <si>
    <t>z[mm]</t>
  </si>
  <si>
    <t>axisx[-]</t>
  </si>
  <si>
    <t>axisy[-]</t>
  </si>
  <si>
    <t>axisz[-]</t>
  </si>
  <si>
    <t>（axisは自動的にノルム1に計算されます．）</t>
  </si>
  <si>
    <t>[荷重]</t>
  </si>
  <si>
    <t>Fx [N]</t>
  </si>
  <si>
    <t>Fy [N]</t>
  </si>
  <si>
    <t>Fz [N]</t>
  </si>
  <si>
    <t>My [Nm]</t>
  </si>
  <si>
    <t>Mz [Nm]</t>
  </si>
  <si>
    <t>$$LoadIn</t>
  </si>
  <si>
    <t>[回転速度]</t>
  </si>
  <si>
    <t>内輪 [rpm]</t>
  </si>
  <si>
    <t>外輪 [rpm]</t>
  </si>
  <si>
    <t>$$Rotation</t>
  </si>
  <si>
    <t>[動解析設定]</t>
  </si>
  <si>
    <t>計算時間[s]</t>
  </si>
  <si>
    <t>サンプリング数（データ出力回数）</t>
  </si>
  <si>
    <t>初期時間ステップサイズ[s]</t>
  </si>
  <si>
    <t>最小時間ステップサイズ[s]</t>
  </si>
  <si>
    <t>許容誤差</t>
  </si>
  <si>
    <t>誤差閾値</t>
  </si>
  <si>
    <t>$$DynSet</t>
  </si>
  <si>
    <t>[ファイル名（任意）]</t>
  </si>
  <si>
    <t>01_Ball</t>
  </si>
  <si>
    <t>02_Outer</t>
  </si>
  <si>
    <t>03_Inner</t>
  </si>
  <si>
    <t>04_Cage</t>
  </si>
  <si>
    <t>05_BallOuterPair</t>
  </si>
  <si>
    <t>06_BallInnerPair</t>
  </si>
  <si>
    <t>07_BallCagePair</t>
  </si>
  <si>
    <t>$$FileName</t>
  </si>
  <si>
    <t>[無次元化パラメタ]</t>
  </si>
  <si>
    <t>単位長さl[m]</t>
  </si>
  <si>
    <t>単位時間t[s]</t>
  </si>
  <si>
    <t>$$Dimension</t>
  </si>
  <si>
    <t>1. 玉・内外輪 幾何形状入力</t>
    <rPh sb="3" eb="4">
      <t>タマ</t>
    </rPh>
    <rPh sb="5" eb="6">
      <t>ナイ</t>
    </rPh>
    <rPh sb="6" eb="8">
      <t>ガイリン</t>
    </rPh>
    <rPh sb="9" eb="11">
      <t>キカ</t>
    </rPh>
    <rPh sb="11" eb="13">
      <t>ケイジョウ</t>
    </rPh>
    <rPh sb="13" eb="15">
      <t>ニュウリョク</t>
    </rPh>
    <phoneticPr fontId="18"/>
  </si>
  <si>
    <t>2. 保持器幾何形状入力</t>
    <rPh sb="3" eb="6">
      <t>ホジキ</t>
    </rPh>
    <rPh sb="6" eb="8">
      <t>キカ</t>
    </rPh>
    <rPh sb="8" eb="10">
      <t>ケイジョウ</t>
    </rPh>
    <rPh sb="10" eb="12">
      <t>ニュウリョク</t>
    </rPh>
    <phoneticPr fontId="18"/>
  </si>
  <si>
    <t>[簡易玉]</t>
    <phoneticPr fontId="18"/>
  </si>
  <si>
    <t>溝R中心x[m]</t>
    <phoneticPr fontId="18"/>
  </si>
  <si>
    <t>3. 摩擦・油物性値</t>
    <rPh sb="3" eb="5">
      <t>マサツ</t>
    </rPh>
    <rPh sb="6" eb="7">
      <t>アブラ</t>
    </rPh>
    <rPh sb="7" eb="10">
      <t>ブッセイチ</t>
    </rPh>
    <phoneticPr fontId="18"/>
  </si>
  <si>
    <t>4.拘束条件・運転条件</t>
    <rPh sb="2" eb="4">
      <t>コウソク</t>
    </rPh>
    <rPh sb="4" eb="6">
      <t>ジョウケン</t>
    </rPh>
    <rPh sb="7" eb="9">
      <t>ウンテン</t>
    </rPh>
    <rPh sb="9" eb="11">
      <t>ジョウケン</t>
    </rPh>
    <phoneticPr fontId="18"/>
  </si>
  <si>
    <t>6.ファイル入出力設定</t>
    <phoneticPr fontId="18"/>
  </si>
  <si>
    <t>[玉]</t>
  </si>
  <si>
    <t>玉番号</t>
  </si>
  <si>
    <t>por</t>
  </si>
  <si>
    <t>粗さrms</t>
  </si>
  <si>
    <t>玉径</t>
  </si>
  <si>
    <t>$$Ball</t>
  </si>
  <si>
    <t>[内外輪]</t>
  </si>
  <si>
    <t>溝R中心直径(+x)[m]</t>
  </si>
  <si>
    <t>肩高さ(+x)[m]</t>
  </si>
  <si>
    <t>$$Inner</t>
  </si>
  <si>
    <t>$$Outer</t>
  </si>
  <si>
    <t>粗さrms[m]</t>
    <phoneticPr fontId="18"/>
  </si>
  <si>
    <t>溝R(-x)[m]</t>
    <phoneticPr fontId="18"/>
  </si>
  <si>
    <t>溝R(+x)[m]</t>
    <phoneticPr fontId="18"/>
  </si>
  <si>
    <t>中心O(-x)[m]</t>
    <phoneticPr fontId="18"/>
  </si>
  <si>
    <t>中心O(+x)[m]</t>
    <phoneticPr fontId="18"/>
  </si>
  <si>
    <t>溝R中心直径(-x)[m]</t>
    <phoneticPr fontId="18"/>
  </si>
  <si>
    <t>肩高さ(-x)[m]</t>
    <phoneticPr fontId="18"/>
  </si>
  <si>
    <t>Ix[kgm2]</t>
    <phoneticPr fontId="18"/>
  </si>
  <si>
    <t>Iy,Iz[kgm2]</t>
    <phoneticPr fontId="18"/>
  </si>
  <si>
    <t>幾何中心x[m]</t>
    <phoneticPr fontId="18"/>
  </si>
  <si>
    <t>幾何中心y[m]</t>
    <phoneticPr fontId="18"/>
  </si>
  <si>
    <t>幾何中心z[m]</t>
    <phoneticPr fontId="18"/>
  </si>
  <si>
    <t>重量[kg]</t>
    <phoneticPr fontId="18"/>
  </si>
  <si>
    <t>開口部半径[m]</t>
    <phoneticPr fontId="18"/>
  </si>
  <si>
    <t>ポケット隙間[m]</t>
    <phoneticPr fontId="18"/>
  </si>
  <si>
    <t>幅[m]</t>
    <phoneticPr fontId="18"/>
  </si>
  <si>
    <t>JC量[m]</t>
    <phoneticPr fontId="18"/>
  </si>
  <si>
    <t>内径[m]</t>
    <phoneticPr fontId="18"/>
  </si>
  <si>
    <t>外径[m]</t>
    <phoneticPr fontId="18"/>
  </si>
  <si>
    <t>すきま[m]</t>
    <phoneticPr fontId="18"/>
  </si>
  <si>
    <t>Ixkgm2]</t>
    <phoneticPr fontId="18"/>
  </si>
  <si>
    <t>$$SetCage</t>
    <phoneticPr fontId="18"/>
  </si>
  <si>
    <t>簡易内輪</t>
    <rPh sb="0" eb="2">
      <t>カンイ</t>
    </rPh>
    <rPh sb="2" eb="3">
      <t>ナイ</t>
    </rPh>
    <rPh sb="3" eb="4">
      <t>リン</t>
    </rPh>
    <phoneticPr fontId="18"/>
  </si>
  <si>
    <t>簡易外輪</t>
    <rPh sb="0" eb="2">
      <t>カンイ</t>
    </rPh>
    <rPh sb="2" eb="4">
      <t>ガイリン</t>
    </rPh>
    <phoneticPr fontId="18"/>
  </si>
  <si>
    <t>簡易玉</t>
    <rPh sb="0" eb="2">
      <t>カンイ</t>
    </rPh>
    <rPh sb="2" eb="3">
      <t>タマ</t>
    </rPh>
    <phoneticPr fontId="18"/>
  </si>
  <si>
    <t>保持器種類(0:球面もみ抜き，1:冠型，2:円筒もみ抜き，3:波型プレス，4:円筒冠型TY，5:冠型プレス，-2:総玉軸受，-1：保持器無し）</t>
    <phoneticPr fontId="18"/>
  </si>
  <si>
    <t>0:なし，1:相原の式，2:藤原の式，3:Houpertの式</t>
    <phoneticPr fontId="18"/>
  </si>
  <si>
    <t>$$OutputSlice</t>
    <phoneticPr fontId="18"/>
  </si>
  <si>
    <t>出力玉数</t>
    <rPh sb="0" eb="2">
      <t>シュツリョク</t>
    </rPh>
    <rPh sb="2" eb="3">
      <t>タマ</t>
    </rPh>
    <rPh sb="3" eb="4">
      <t>カズ</t>
    </rPh>
    <phoneticPr fontId="18"/>
  </si>
  <si>
    <t>(B) 詳細入力</t>
    <rPh sb="4" eb="6">
      <t>ショウサイ</t>
    </rPh>
    <rPh sb="6" eb="8">
      <t>ニュウリョク</t>
    </rPh>
    <phoneticPr fontId="18"/>
  </si>
  <si>
    <t>(A) 簡易入力</t>
    <rPh sb="4" eb="6">
      <t>カンイ</t>
    </rPh>
    <rPh sb="6" eb="8">
      <t>ニュウリョク</t>
    </rPh>
    <phoneticPr fontId="18"/>
  </si>
  <si>
    <t>% -------------------------------------------------------------</t>
    <phoneticPr fontId="18"/>
  </si>
  <si>
    <t>0. このエクセルマクロの使い方</t>
    <rPh sb="13" eb="14">
      <t>ツカ</t>
    </rPh>
    <rPh sb="15" eb="16">
      <t>カタ</t>
    </rPh>
    <phoneticPr fontId="18"/>
  </si>
  <si>
    <t>・基本的に各パラメータを入力するだけですが，内外輪の入力方法に(A)簡易入力と(B)詳細入力の二種類があり，選択する必要があります．</t>
    <rPh sb="1" eb="4">
      <t>キホンテキ</t>
    </rPh>
    <rPh sb="5" eb="6">
      <t>カク</t>
    </rPh>
    <rPh sb="12" eb="14">
      <t>ニュウリョク</t>
    </rPh>
    <rPh sb="22" eb="23">
      <t>ナイ</t>
    </rPh>
    <rPh sb="23" eb="25">
      <t>ガイリン</t>
    </rPh>
    <rPh sb="26" eb="28">
      <t>ニュウリョク</t>
    </rPh>
    <rPh sb="28" eb="30">
      <t>ホウホウ</t>
    </rPh>
    <rPh sb="34" eb="36">
      <t>カンイ</t>
    </rPh>
    <rPh sb="36" eb="38">
      <t>ニュウリョク</t>
    </rPh>
    <rPh sb="42" eb="44">
      <t>ショウサイ</t>
    </rPh>
    <rPh sb="44" eb="46">
      <t>ニュウリョク</t>
    </rPh>
    <rPh sb="47" eb="50">
      <t>ニシュルイ</t>
    </rPh>
    <rPh sb="54" eb="56">
      <t>センタク</t>
    </rPh>
    <rPh sb="58" eb="60">
      <t>ヒツヨウ</t>
    </rPh>
    <phoneticPr fontId="18"/>
  </si>
  <si>
    <t>・重量・慣性モーメントはボタンを押せば自動計算できますが，非推奨としています．</t>
    <rPh sb="1" eb="3">
      <t>ジュウリョウ</t>
    </rPh>
    <rPh sb="4" eb="6">
      <t>カンセイ</t>
    </rPh>
    <rPh sb="16" eb="17">
      <t>オ</t>
    </rPh>
    <rPh sb="19" eb="21">
      <t>ジドウ</t>
    </rPh>
    <rPh sb="21" eb="23">
      <t>ケイサン</t>
    </rPh>
    <rPh sb="29" eb="30">
      <t>ヒ</t>
    </rPh>
    <rPh sb="30" eb="32">
      <t>スイショウ</t>
    </rPh>
    <phoneticPr fontId="18"/>
  </si>
  <si>
    <t>（簡易入力を使用した場合はエクセルのマクロや数式を使用して詳細入力の数値が自動計算されます）</t>
    <rPh sb="22" eb="24">
      <t>スウシキ</t>
    </rPh>
    <phoneticPr fontId="18"/>
  </si>
  <si>
    <t>・すべて入力し終わったら，右上のボタンを押してcsvファイルを出力してください．</t>
    <rPh sb="4" eb="6">
      <t>ニュウリョク</t>
    </rPh>
    <rPh sb="7" eb="8">
      <t>オ</t>
    </rPh>
    <rPh sb="13" eb="15">
      <t>ミギウエ</t>
    </rPh>
    <rPh sb="20" eb="21">
      <t>オ</t>
    </rPh>
    <rPh sb="31" eb="33">
      <t>シュツリョク</t>
    </rPh>
    <phoneticPr fontId="18"/>
  </si>
  <si>
    <t>5.ソルバー設定</t>
    <rPh sb="6" eb="8">
      <t>セッテイ</t>
    </rPh>
    <phoneticPr fontId="18"/>
  </si>
  <si>
    <t>0:新規計算 1:続き計算</t>
    <rPh sb="2" eb="4">
      <t>シンキ</t>
    </rPh>
    <rPh sb="4" eb="6">
      <t>ケイサン</t>
    </rPh>
    <rPh sb="9" eb="10">
      <t>ツヅ</t>
    </rPh>
    <rPh sb="11" eb="13">
      <t>ケイサン</t>
    </rPh>
    <phoneticPr fontId="18"/>
  </si>
  <si>
    <t>[動解析続き計算]</t>
    <rPh sb="1" eb="2">
      <t>ドウ</t>
    </rPh>
    <rPh sb="2" eb="4">
      <t>カイセキ</t>
    </rPh>
    <rPh sb="4" eb="5">
      <t>ツヅ</t>
    </rPh>
    <rPh sb="6" eb="8">
      <t>ケイサン</t>
    </rPh>
    <phoneticPr fontId="18"/>
  </si>
  <si>
    <t>[動解析計算打ち切り]</t>
    <rPh sb="1" eb="2">
      <t>ドウ</t>
    </rPh>
    <rPh sb="2" eb="4">
      <t>カイセキ</t>
    </rPh>
    <rPh sb="4" eb="6">
      <t>ケイサン</t>
    </rPh>
    <rPh sb="6" eb="7">
      <t>ウ</t>
    </rPh>
    <rPh sb="8" eb="9">
      <t>キ</t>
    </rPh>
    <phoneticPr fontId="18"/>
  </si>
  <si>
    <t>0:打ち切りなし 1:あり</t>
    <rPh sb="2" eb="3">
      <t>ウ</t>
    </rPh>
    <rPh sb="4" eb="5">
      <t>キ</t>
    </rPh>
    <phoneticPr fontId="18"/>
  </si>
  <si>
    <t>$$StopCalculation</t>
    <phoneticPr fontId="18"/>
  </si>
  <si>
    <t>[スライス出力設定]</t>
    <rPh sb="5" eb="7">
      <t>シュツリョク</t>
    </rPh>
    <rPh sb="7" eb="9">
      <t>セッテイ</t>
    </rPh>
    <phoneticPr fontId="18"/>
  </si>
  <si>
    <t>※アキシアル条件専用です</t>
    <rPh sb="6" eb="8">
      <t>ジョウケン</t>
    </rPh>
    <rPh sb="8" eb="10">
      <t>センヨウ</t>
    </rPh>
    <phoneticPr fontId="18"/>
  </si>
  <si>
    <t>出力玉番号(半角カンマ区切り）</t>
    <rPh sb="0" eb="2">
      <t>シュツリョク</t>
    </rPh>
    <rPh sb="2" eb="3">
      <t>タマ</t>
    </rPh>
    <rPh sb="3" eb="5">
      <t>バンゴウ</t>
    </rPh>
    <rPh sb="6" eb="8">
      <t>ハンカク</t>
    </rPh>
    <rPh sb="11" eb="13">
      <t>クギ</t>
    </rPh>
    <phoneticPr fontId="18"/>
  </si>
  <si>
    <t>$$FromContinuation</t>
    <phoneticPr fontId="18"/>
  </si>
  <si>
    <t>打ち切り基準値[-]</t>
    <rPh sb="0" eb="1">
      <t>ウ</t>
    </rPh>
    <rPh sb="2" eb="3">
      <t>キ</t>
    </rPh>
    <rPh sb="4" eb="7">
      <t>キジュンチ</t>
    </rPh>
    <phoneticPr fontId="18"/>
  </si>
  <si>
    <t>x</t>
    <phoneticPr fontId="18"/>
  </si>
  <si>
    <t>y</t>
    <phoneticPr fontId="18"/>
  </si>
  <si>
    <t>z</t>
    <phoneticPr fontId="18"/>
  </si>
  <si>
    <t>Rx</t>
    <phoneticPr fontId="18"/>
  </si>
  <si>
    <t>Ry</t>
    <phoneticPr fontId="18"/>
  </si>
  <si>
    <t>Rz</t>
    <phoneticPr fontId="18"/>
  </si>
  <si>
    <t>$$InnerVelocity</t>
    <phoneticPr fontId="18"/>
  </si>
  <si>
    <t>$$InnnerPosition</t>
    <phoneticPr fontId="18"/>
  </si>
  <si>
    <t>vx[mm]</t>
    <phoneticPr fontId="18"/>
  </si>
  <si>
    <t>vy[mm]</t>
    <phoneticPr fontId="18"/>
  </si>
  <si>
    <t>vz[mm]</t>
    <phoneticPr fontId="18"/>
  </si>
  <si>
    <t>wx[rpm]</t>
    <phoneticPr fontId="18"/>
  </si>
  <si>
    <t>wy[rpm]</t>
    <phoneticPr fontId="18"/>
  </si>
  <si>
    <t>wz[rpm]</t>
    <phoneticPr fontId="18"/>
  </si>
  <si>
    <t>$$InnnerBound</t>
    <phoneticPr fontId="18"/>
  </si>
  <si>
    <t>00_temp</t>
    <phoneticPr fontId="18"/>
  </si>
  <si>
    <t>$$Coulomb</t>
    <phoneticPr fontId="18"/>
  </si>
  <si>
    <t>[ヒステリシス損失]</t>
    <rPh sb="7" eb="9">
      <t>ソンシツ</t>
    </rPh>
    <phoneticPr fontId="18"/>
  </si>
  <si>
    <t>0:ヒステリシスなし, 1：あり</t>
    <phoneticPr fontId="18"/>
  </si>
  <si>
    <t>ヒステリシス係数</t>
    <rPh sb="6" eb="8">
      <t>ケイスウ</t>
    </rPh>
    <phoneticPr fontId="18"/>
  </si>
  <si>
    <t>$$Hysteresis</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</si>
</sst>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0"/>
      <color theme="1"/>
      <name val="ＭＳ Ｐゴシック"/>
      <family val="2"/>
      <charset val="128"/>
    </font>
    <font>
      <sz val="10"/>
      <color theme="1"/>
      <name val="ＭＳ Ｐゴシック"/>
      <family val="2"/>
      <charset val="128"/>
    </font>
    <font>
      <sz val="18"/>
      <color theme="3"/>
      <name val="游ゴシック Light"/>
      <family val="2"/>
      <charset val="128"/>
      <scheme val="major"/>
    </font>
    <font>
      <b/>
      <sz val="15"/>
      <color theme="3"/>
      <name val="ＭＳ Ｐゴシック"/>
      <family val="2"/>
      <charset val="128"/>
    </font>
    <font>
      <b/>
      <sz val="13"/>
      <color theme="3"/>
      <name val="ＭＳ Ｐゴシック"/>
      <family val="2"/>
      <charset val="128"/>
    </font>
    <font>
      <b/>
      <sz val="11"/>
      <color theme="3"/>
      <name val="ＭＳ Ｐゴシック"/>
      <family val="2"/>
      <charset val="128"/>
    </font>
    <font>
      <sz val="10"/>
      <color rgb="FF006100"/>
      <name val="ＭＳ Ｐゴシック"/>
      <family val="2"/>
      <charset val="128"/>
    </font>
    <font>
      <sz val="10"/>
      <color rgb="FF9C0006"/>
      <name val="ＭＳ Ｐゴシック"/>
      <family val="2"/>
      <charset val="128"/>
    </font>
    <font>
      <sz val="10"/>
      <color rgb="FF9C6500"/>
      <name val="ＭＳ Ｐゴシック"/>
      <family val="2"/>
      <charset val="128"/>
    </font>
    <font>
      <sz val="10"/>
      <color rgb="FF3F3F76"/>
      <name val="ＭＳ Ｐゴシック"/>
      <family val="2"/>
      <charset val="128"/>
    </font>
    <font>
      <b/>
      <sz val="10"/>
      <color rgb="FF3F3F3F"/>
      <name val="ＭＳ Ｐゴシック"/>
      <family val="2"/>
      <charset val="128"/>
    </font>
    <font>
      <b/>
      <sz val="10"/>
      <color rgb="FFFA7D00"/>
      <name val="ＭＳ Ｐゴシック"/>
      <family val="2"/>
      <charset val="128"/>
    </font>
    <font>
      <sz val="10"/>
      <color rgb="FFFA7D00"/>
      <name val="ＭＳ Ｐゴシック"/>
      <family val="2"/>
      <charset val="128"/>
    </font>
    <font>
      <b/>
      <sz val="10"/>
      <color theme="0"/>
      <name val="ＭＳ Ｐゴシック"/>
      <family val="2"/>
      <charset val="128"/>
    </font>
    <font>
      <sz val="10"/>
      <color rgb="FFFF0000"/>
      <name val="ＭＳ Ｐゴシック"/>
      <family val="2"/>
      <charset val="128"/>
    </font>
    <font>
      <i/>
      <sz val="10"/>
      <color rgb="FF7F7F7F"/>
      <name val="ＭＳ Ｐゴシック"/>
      <family val="2"/>
      <charset val="128"/>
    </font>
    <font>
      <b/>
      <sz val="10"/>
      <color theme="1"/>
      <name val="ＭＳ Ｐゴシック"/>
      <family val="2"/>
      <charset val="128"/>
    </font>
    <font>
      <sz val="10"/>
      <color theme="0"/>
      <name val="ＭＳ Ｐゴシック"/>
      <family val="2"/>
      <charset val="128"/>
    </font>
    <font>
      <sz val="6"/>
      <name val="ＭＳ Ｐゴシック"/>
      <family val="2"/>
      <charset val="128"/>
    </font>
    <font>
      <sz val="10"/>
      <color rgb="FF000000"/>
      <name val="ＭＳ Ｐゴシック"/>
      <family val="3"/>
      <charset val="128"/>
    </font>
    <font>
      <b/>
      <sz val="12"/>
      <color theme="1"/>
      <name val="ＭＳ Ｐゴシック"/>
      <family val="3"/>
      <charset val="128"/>
    </font>
    <font>
      <sz val="10"/>
      <color theme="1"/>
      <name val="ＭＳ Ｐゴシック"/>
      <family val="3"/>
      <charset val="128"/>
    </font>
    <font>
      <sz val="9"/>
      <color rgb="FF000000"/>
      <name val="Meiryo UI"/>
      <family val="3"/>
      <charset val="128"/>
    </font>
    <font>
      <sz val="12"/>
      <color theme="1"/>
      <name val="ＭＳ Ｐゴシック"/>
      <family val="2"/>
      <charset val="128"/>
    </font>
    <font>
      <b/>
      <sz val="10"/>
      <color rgb="FFFF0000"/>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50505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cellStyleXfs>
  <cellXfs count="10">
    <xf numFmtId="0" fontId="0" fillId="0" borderId="0" xfId="0">
      <alignment vertical="center"/>
    </xf>
    <xf numFmtId="0" fontId="0" fillId="0" borderId="0" xfId="0" applyNumberFormat="1">
      <alignment vertical="center"/>
    </xf>
    <xf numFmtId="0" fontId="0" fillId="0" borderId="0" xfId="0" applyNumberFormat="1" applyAlignment="1">
      <alignment vertical="center" wrapText="1"/>
    </xf>
    <xf numFmtId="0" fontId="0" fillId="0" borderId="0" xfId="0" applyNumberFormat="1" applyBorder="1">
      <alignment vertical="center"/>
    </xf>
    <xf numFmtId="0" fontId="20" fillId="0" borderId="0" xfId="0" applyNumberFormat="1" applyFont="1">
      <alignment vertical="center"/>
    </xf>
    <xf numFmtId="0" fontId="21" fillId="0" borderId="0" xfId="0" applyNumberFormat="1" applyFont="1">
      <alignment vertical="center"/>
    </xf>
    <xf numFmtId="0" fontId="23" fillId="0" borderId="0" xfId="0" applyNumberFormat="1" applyFont="1">
      <alignment vertical="center"/>
    </xf>
    <xf numFmtId="0" fontId="0" fillId="0" borderId="0" xfId="0" applyNumberFormat="1" applyFill="1">
      <alignment vertical="center"/>
    </xf>
    <xf numFmtId="0" fontId="0" fillId="33" borderId="0" xfId="0" applyNumberFormat="1" applyFill="1">
      <alignment vertical="center"/>
    </xf>
    <xf numFmtId="0" fontId="24" fillId="0" borderId="0" xfId="0" applyNumberFormat="1" applyFont="1">
      <alignment vertical="center"/>
    </xf>
  </cellXfs>
  <cellStyles count="42">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checked="Checked" firstButton="1"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257175</xdr:colOff>
          <xdr:row>2</xdr:row>
          <xdr:rowOff>66675</xdr:rowOff>
        </xdr:from>
        <xdr:to>
          <xdr:col>8</xdr:col>
          <xdr:colOff>457200</xdr:colOff>
          <xdr:row>6</xdr:row>
          <xdr:rowOff>95250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入力ファイル(D-B4P_input.csv)出力</a:t>
              </a:r>
            </a:p>
            <a:p>
              <a:pPr algn="ctr" rtl="0">
                <a:defRPr sz="1000"/>
              </a:pPr>
              <a:r>
                <a:rPr lang="ja-JP" altLang="en-US" sz="1000" b="0" i="0" u="none" strike="noStrike" baseline="0">
                  <a:solidFill>
                    <a:srgbClr val="000000"/>
                  </a:solidFill>
                  <a:latin typeface="ＭＳ Ｐゴシック"/>
                  <a:ea typeface="ＭＳ Ｐゴシック"/>
                </a:rPr>
                <a:t>(csv形式，このファイルと同じフォルダに保存)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495300</xdr:colOff>
          <xdr:row>34</xdr:row>
          <xdr:rowOff>85725</xdr:rowOff>
        </xdr:from>
        <xdr:to>
          <xdr:col>10</xdr:col>
          <xdr:colOff>838200</xdr:colOff>
          <xdr:row>37</xdr:row>
          <xdr:rowOff>85725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重量・慣性モーメント簡易計算</a:t>
              </a:r>
            </a:p>
            <a:p>
              <a:pPr algn="ctr" rtl="0">
                <a:defRPr sz="1000"/>
              </a:pPr>
              <a:r>
                <a:rPr lang="ja-JP" altLang="en-US" sz="1000" b="0" i="0" u="none" strike="noStrike" baseline="0">
                  <a:solidFill>
                    <a:srgbClr val="000000"/>
                  </a:solidFill>
                  <a:latin typeface="ＭＳ Ｐゴシック"/>
                  <a:ea typeface="ＭＳ Ｐゴシック"/>
                </a:rPr>
                <a:t>（非推奨）</a:t>
              </a:r>
            </a:p>
          </xdr:txBody>
        </xdr:sp>
        <xdr:clientData fPrintsWithSheet="0"/>
      </xdr:twoCellAnchor>
    </mc:Choice>
    <mc:Fallback/>
  </mc:AlternateContent>
  <xdr:twoCellAnchor>
    <xdr:from>
      <xdr:col>8</xdr:col>
      <xdr:colOff>38099</xdr:colOff>
      <xdr:row>32</xdr:row>
      <xdr:rowOff>66677</xdr:rowOff>
    </xdr:from>
    <xdr:to>
      <xdr:col>11</xdr:col>
      <xdr:colOff>57149</xdr:colOff>
      <xdr:row>34</xdr:row>
      <xdr:rowOff>28577</xdr:rowOff>
    </xdr:to>
    <xdr:sp macro="" textlink="">
      <xdr:nvSpPr>
        <xdr:cNvPr id="10" name="右中かっこ 9"/>
        <xdr:cNvSpPr/>
      </xdr:nvSpPr>
      <xdr:spPr>
        <a:xfrm rot="5400000">
          <a:off x="8620124" y="3533777"/>
          <a:ext cx="266700" cy="2228850"/>
        </a:xfrm>
        <a:prstGeom prst="rightBrac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7</xdr:col>
      <xdr:colOff>879663</xdr:colOff>
      <xdr:row>38</xdr:row>
      <xdr:rowOff>56030</xdr:rowOff>
    </xdr:from>
    <xdr:to>
      <xdr:col>9</xdr:col>
      <xdr:colOff>44825</xdr:colOff>
      <xdr:row>50</xdr:row>
      <xdr:rowOff>67235</xdr:rowOff>
    </xdr:to>
    <xdr:sp macro="" textlink="">
      <xdr:nvSpPr>
        <xdr:cNvPr id="3" name="テキスト ボックス 2"/>
        <xdr:cNvSpPr txBox="1"/>
      </xdr:nvSpPr>
      <xdr:spPr>
        <a:xfrm>
          <a:off x="8959104" y="5300383"/>
          <a:ext cx="1473574" cy="189379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ja-JP" altLang="en-US" sz="1400"/>
            <a:t>玉数分だけ入力</a:t>
          </a:r>
        </a:p>
      </xdr:txBody>
    </xdr:sp>
    <xdr:clientData/>
  </xdr:twoCellAnchor>
  <mc:AlternateContent xmlns:mc="http://schemas.openxmlformats.org/markup-compatibility/2006">
    <mc:Choice xmlns:a14="http://schemas.microsoft.com/office/drawing/2010/main" Requires="a14">
      <xdr:twoCellAnchor>
        <xdr:from>
          <xdr:col>0</xdr:col>
          <xdr:colOff>356907</xdr:colOff>
          <xdr:row>21</xdr:row>
          <xdr:rowOff>10082</xdr:rowOff>
        </xdr:from>
        <xdr:to>
          <xdr:col>6</xdr:col>
          <xdr:colOff>112059</xdr:colOff>
          <xdr:row>24</xdr:row>
          <xdr:rowOff>1</xdr:rowOff>
        </xdr:to>
        <xdr:grpSp>
          <xdr:nvGrpSpPr>
            <xdr:cNvPr id="4" name="グループ化 3"/>
            <xdr:cNvGrpSpPr/>
          </xdr:nvGrpSpPr>
          <xdr:grpSpPr>
            <a:xfrm>
              <a:off x="356907" y="3267632"/>
              <a:ext cx="6670302" cy="447119"/>
              <a:chOff x="3200401" y="8067704"/>
              <a:chExt cx="1914525" cy="962025"/>
            </a:xfrm>
          </xdr:grpSpPr>
          <xdr:sp macro="" textlink="">
            <xdr:nvSpPr>
              <xdr:cNvPr id="1036" name="Option Button 12" hidden="1">
                <a:extLst>
                  <a:ext uri="{63B3BB69-23CF-44E3-9099-C40C66FF867C}">
                    <a14:compatExt spid="_x0000_s1036"/>
                  </a:ext>
                </a:extLst>
              </xdr:cNvPr>
              <xdr:cNvSpPr/>
            </xdr:nvSpPr>
            <xdr:spPr bwMode="auto">
              <a:xfrm>
                <a:off x="3421482" y="8438512"/>
                <a:ext cx="363889" cy="4095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(A) 簡易入力</a:t>
                </a:r>
              </a:p>
            </xdr:txBody>
          </xdr:sp>
          <xdr:sp macro="" textlink="">
            <xdr:nvSpPr>
              <xdr:cNvPr id="1037" name="Option Button 13" hidden="1">
                <a:extLst>
                  <a:ext uri="{63B3BB69-23CF-44E3-9099-C40C66FF867C}">
                    <a14:compatExt spid="_x0000_s1037"/>
                  </a:ext>
                </a:extLst>
              </xdr:cNvPr>
              <xdr:cNvSpPr/>
            </xdr:nvSpPr>
            <xdr:spPr bwMode="auto">
              <a:xfrm>
                <a:off x="3948166" y="8471217"/>
                <a:ext cx="428118" cy="30249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(B) 直接入力</a:t>
                </a:r>
              </a:p>
            </xdr:txBody>
          </xdr:sp>
          <xdr:sp macro="" textlink="">
            <xdr:nvSpPr>
              <xdr:cNvPr id="1038" name="Group Box 14" hidden="1">
                <a:extLst>
                  <a:ext uri="{63B3BB69-23CF-44E3-9099-C40C66FF867C}">
                    <a14:compatExt spid="_x0000_s1038"/>
                  </a:ext>
                </a:extLst>
              </xdr:cNvPr>
              <xdr:cNvSpPr/>
            </xdr:nvSpPr>
            <xdr:spPr bwMode="auto">
              <a:xfrm>
                <a:off x="3200401" y="8067704"/>
                <a:ext cx="1914525" cy="962025"/>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内外輪入力方法(玉数を入力してから選択してください)</a:t>
                </a:r>
              </a:p>
            </xdr:txBody>
          </xdr:sp>
        </xdr:grpSp>
        <xdr:clientData/>
      </xdr:twoCellAnchor>
    </mc:Choice>
    <mc:Fallback/>
  </mc:AlternateContent>
  <xdr:twoCellAnchor>
    <xdr:from>
      <xdr:col>7</xdr:col>
      <xdr:colOff>465322</xdr:colOff>
      <xdr:row>38</xdr:row>
      <xdr:rowOff>78441</xdr:rowOff>
    </xdr:from>
    <xdr:to>
      <xdr:col>7</xdr:col>
      <xdr:colOff>736785</xdr:colOff>
      <xdr:row>50</xdr:row>
      <xdr:rowOff>123265</xdr:rowOff>
    </xdr:to>
    <xdr:sp macro="" textlink="">
      <xdr:nvSpPr>
        <xdr:cNvPr id="21" name="右中かっこ 20"/>
        <xdr:cNvSpPr/>
      </xdr:nvSpPr>
      <xdr:spPr>
        <a:xfrm>
          <a:off x="8544763" y="5322794"/>
          <a:ext cx="271463" cy="1927412"/>
        </a:xfrm>
        <a:prstGeom prst="rightBrac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14</xdr:col>
      <xdr:colOff>19049</xdr:colOff>
      <xdr:row>63</xdr:row>
      <xdr:rowOff>19051</xdr:rowOff>
    </xdr:from>
    <xdr:to>
      <xdr:col>16</xdr:col>
      <xdr:colOff>571499</xdr:colOff>
      <xdr:row>64</xdr:row>
      <xdr:rowOff>0</xdr:rowOff>
    </xdr:to>
    <xdr:sp macro="" textlink="">
      <xdr:nvSpPr>
        <xdr:cNvPr id="23" name="右中かっこ 22"/>
        <xdr:cNvSpPr/>
      </xdr:nvSpPr>
      <xdr:spPr>
        <a:xfrm rot="5400000">
          <a:off x="17516474" y="9534526"/>
          <a:ext cx="133349" cy="2857500"/>
        </a:xfrm>
        <a:prstGeom prst="rightBrac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10</xdr:col>
      <xdr:colOff>38098</xdr:colOff>
      <xdr:row>63</xdr:row>
      <xdr:rowOff>28576</xdr:rowOff>
    </xdr:from>
    <xdr:to>
      <xdr:col>12</xdr:col>
      <xdr:colOff>733424</xdr:colOff>
      <xdr:row>64</xdr:row>
      <xdr:rowOff>0</xdr:rowOff>
    </xdr:to>
    <xdr:sp macro="" textlink="">
      <xdr:nvSpPr>
        <xdr:cNvPr id="24" name="右中かっこ 23"/>
        <xdr:cNvSpPr/>
      </xdr:nvSpPr>
      <xdr:spPr>
        <a:xfrm rot="5400000">
          <a:off x="13001624" y="9467850"/>
          <a:ext cx="123824" cy="3000376"/>
        </a:xfrm>
        <a:prstGeom prst="rightBrac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10</xdr:col>
      <xdr:colOff>38098</xdr:colOff>
      <xdr:row>63</xdr:row>
      <xdr:rowOff>28576</xdr:rowOff>
    </xdr:from>
    <xdr:to>
      <xdr:col>12</xdr:col>
      <xdr:colOff>733424</xdr:colOff>
      <xdr:row>64</xdr:row>
      <xdr:rowOff>0</xdr:rowOff>
    </xdr:to>
    <xdr:sp macro="" textlink="">
      <xdr:nvSpPr>
        <xdr:cNvPr id="27" name="右中かっこ 26"/>
        <xdr:cNvSpPr/>
      </xdr:nvSpPr>
      <xdr:spPr>
        <a:xfrm rot="5400000">
          <a:off x="13001624" y="9467850"/>
          <a:ext cx="123824" cy="3000376"/>
        </a:xfrm>
        <a:prstGeom prst="rightBrac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xdr:from>
          <xdr:col>10</xdr:col>
          <xdr:colOff>304800</xdr:colOff>
          <xdr:row>64</xdr:row>
          <xdr:rowOff>57150</xdr:rowOff>
        </xdr:from>
        <xdr:to>
          <xdr:col>12</xdr:col>
          <xdr:colOff>514350</xdr:colOff>
          <xdr:row>67</xdr:row>
          <xdr:rowOff>95250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幾何中心簡易計算</a:t>
              </a:r>
            </a:p>
            <a:p>
              <a:pPr algn="ctr" rtl="0">
                <a:defRPr sz="1000"/>
              </a:pPr>
              <a:r>
                <a:rPr lang="ja-JP" altLang="en-US" sz="1000" b="0" i="0" u="none" strike="noStrike" baseline="0">
                  <a:solidFill>
                    <a:srgbClr val="000000"/>
                  </a:solidFill>
                  <a:latin typeface="ＭＳ Ｐゴシック"/>
                  <a:ea typeface="ＭＳ Ｐゴシック"/>
                </a:rPr>
                <a:t>（非推奨）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85725</xdr:colOff>
          <xdr:row>64</xdr:row>
          <xdr:rowOff>95250</xdr:rowOff>
        </xdr:from>
        <xdr:to>
          <xdr:col>16</xdr:col>
          <xdr:colOff>428625</xdr:colOff>
          <xdr:row>67</xdr:row>
          <xdr:rowOff>133350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重量・慣性モーメント簡易計算</a:t>
              </a:r>
            </a:p>
            <a:p>
              <a:pPr algn="ctr" rtl="0">
                <a:defRPr sz="1000"/>
              </a:pPr>
              <a:r>
                <a:rPr lang="ja-JP" altLang="en-US" sz="1000" b="0" i="0" u="none" strike="noStrike" baseline="0">
                  <a:solidFill>
                    <a:srgbClr val="000000"/>
                  </a:solidFill>
                  <a:latin typeface="ＭＳ Ｐゴシック"/>
                  <a:ea typeface="ＭＳ Ｐゴシック"/>
                </a:rPr>
                <a:t>（非推奨）</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W121"/>
  <sheetViews>
    <sheetView tabSelected="1" topLeftCell="A43" zoomScaleNormal="100" workbookViewId="0">
      <selection activeCell="J75" sqref="J75"/>
    </sheetView>
  </sheetViews>
  <sheetFormatPr defaultColWidth="17.28515625" defaultRowHeight="12" x14ac:dyDescent="0.15"/>
  <cols>
    <col min="1" max="16384" width="17.28515625" style="1"/>
  </cols>
  <sheetData>
    <row r="1" spans="1:1" x14ac:dyDescent="0.15">
      <c r="A1" s="1" t="s">
        <v>0</v>
      </c>
    </row>
    <row r="2" spans="1:1" x14ac:dyDescent="0.15">
      <c r="A2" s="1" t="s">
        <v>1</v>
      </c>
    </row>
    <row r="3" spans="1:1" x14ac:dyDescent="0.15">
      <c r="A3" s="1" t="s">
        <v>0</v>
      </c>
    </row>
    <row r="4" spans="1:1" x14ac:dyDescent="0.15">
      <c r="A4" s="1" t="s">
        <v>2</v>
      </c>
    </row>
    <row r="5" spans="1:1" x14ac:dyDescent="0.15">
      <c r="A5" s="1" t="s">
        <v>3</v>
      </c>
    </row>
    <row r="6" spans="1:1" x14ac:dyDescent="0.15">
      <c r="A6" s="1" t="s">
        <v>4</v>
      </c>
    </row>
    <row r="7" spans="1:1" x14ac:dyDescent="0.15">
      <c r="A7" s="1" t="s">
        <v>5</v>
      </c>
    </row>
    <row r="8" spans="1:1" x14ac:dyDescent="0.15">
      <c r="A8" s="1" t="s">
        <v>149</v>
      </c>
    </row>
    <row r="10" spans="1:1" ht="14.25" x14ac:dyDescent="0.15">
      <c r="A10" s="4" t="s">
        <v>150</v>
      </c>
    </row>
    <row r="11" spans="1:1" x14ac:dyDescent="0.15">
      <c r="A11" s="1" t="s">
        <v>151</v>
      </c>
    </row>
    <row r="12" spans="1:1" x14ac:dyDescent="0.15">
      <c r="A12" s="1" t="s">
        <v>153</v>
      </c>
    </row>
    <row r="13" spans="1:1" x14ac:dyDescent="0.15">
      <c r="A13" s="1" t="s">
        <v>152</v>
      </c>
    </row>
    <row r="14" spans="1:1" x14ac:dyDescent="0.15">
      <c r="A14" s="1" t="s">
        <v>154</v>
      </c>
    </row>
    <row r="17" spans="1:11" x14ac:dyDescent="0.15">
      <c r="A17" s="1" t="s">
        <v>6</v>
      </c>
      <c r="B17" s="1" t="s">
        <v>7</v>
      </c>
    </row>
    <row r="18" spans="1:11" ht="14.25" x14ac:dyDescent="0.15">
      <c r="A18" s="4" t="s">
        <v>100</v>
      </c>
    </row>
    <row r="19" spans="1:11" x14ac:dyDescent="0.15">
      <c r="A19" s="1" t="s">
        <v>8</v>
      </c>
      <c r="B19" s="1" t="s">
        <v>9</v>
      </c>
    </row>
    <row r="20" spans="1:11" x14ac:dyDescent="0.15">
      <c r="A20" s="1" t="s">
        <v>10</v>
      </c>
      <c r="B20" s="3">
        <v>11</v>
      </c>
    </row>
    <row r="21" spans="1:11" x14ac:dyDescent="0.15">
      <c r="B21" s="3"/>
    </row>
    <row r="22" spans="1:11" x14ac:dyDescent="0.15">
      <c r="B22" s="3"/>
    </row>
    <row r="23" spans="1:11" x14ac:dyDescent="0.15">
      <c r="B23" s="3"/>
    </row>
    <row r="24" spans="1:11" x14ac:dyDescent="0.15">
      <c r="B24" s="3"/>
    </row>
    <row r="25" spans="1:11" x14ac:dyDescent="0.15">
      <c r="B25" s="3"/>
    </row>
    <row r="26" spans="1:11" ht="14.25" x14ac:dyDescent="0.15">
      <c r="A26" s="6" t="s">
        <v>148</v>
      </c>
    </row>
    <row r="27" spans="1:11" x14ac:dyDescent="0.15">
      <c r="A27" s="1" t="s">
        <v>102</v>
      </c>
      <c r="B27" s="1" t="s">
        <v>20</v>
      </c>
      <c r="C27" s="1" t="s">
        <v>21</v>
      </c>
      <c r="D27" s="1" t="s">
        <v>22</v>
      </c>
      <c r="E27" s="1" t="s">
        <v>23</v>
      </c>
      <c r="F27" s="1" t="s">
        <v>24</v>
      </c>
      <c r="G27" s="1" t="s">
        <v>25</v>
      </c>
      <c r="H27" s="1" t="s">
        <v>137</v>
      </c>
    </row>
    <row r="28" spans="1:11" s="7" customFormat="1" x14ac:dyDescent="0.15">
      <c r="A28" s="7" t="s">
        <v>142</v>
      </c>
      <c r="B28" s="7">
        <v>7830</v>
      </c>
      <c r="C28" s="7">
        <v>208000000000</v>
      </c>
      <c r="D28" s="7">
        <v>0.28999999999999998</v>
      </c>
      <c r="E28" s="7">
        <v>2E-8</v>
      </c>
      <c r="F28" s="7">
        <v>1.1112500000000001E-2</v>
      </c>
      <c r="G28" s="7">
        <v>6.7500000000000004E-2</v>
      </c>
      <c r="H28" s="7">
        <v>7.9999999999999996E-6</v>
      </c>
    </row>
    <row r="30" spans="1:11" x14ac:dyDescent="0.15">
      <c r="B30" s="1" t="s">
        <v>20</v>
      </c>
      <c r="C30" s="1" t="s">
        <v>21</v>
      </c>
      <c r="D30" s="1" t="s">
        <v>22</v>
      </c>
      <c r="E30" s="1" t="s">
        <v>23</v>
      </c>
      <c r="F30" s="1" t="s">
        <v>26</v>
      </c>
      <c r="G30" s="2" t="s">
        <v>103</v>
      </c>
      <c r="H30" s="1" t="s">
        <v>27</v>
      </c>
      <c r="I30" s="1" t="s">
        <v>28</v>
      </c>
      <c r="J30" s="1" t="s">
        <v>138</v>
      </c>
      <c r="K30" s="1" t="s">
        <v>126</v>
      </c>
    </row>
    <row r="31" spans="1:11" s="7" customFormat="1" x14ac:dyDescent="0.15">
      <c r="A31" s="7" t="s">
        <v>140</v>
      </c>
      <c r="B31" s="7">
        <v>7830</v>
      </c>
      <c r="C31" s="7">
        <v>208000000000</v>
      </c>
      <c r="D31" s="7">
        <v>0.28999999999999998</v>
      </c>
      <c r="E31" s="7">
        <v>5.9999999999999995E-8</v>
      </c>
      <c r="F31" s="7">
        <v>5.8900000000000003E-3</v>
      </c>
      <c r="G31" s="7">
        <v>1.6650000000000001E-4</v>
      </c>
      <c r="H31" s="7">
        <v>2.1800000000000001E-3</v>
      </c>
      <c r="I31" s="7">
        <f>PI()/ 6 * pcd^3 * SIR_rho</f>
        <v>1.2608740390905204</v>
      </c>
      <c r="J31" s="7">
        <f>sIR_m * pcd ^ 3 * 0.1</f>
        <v>3.8777787049091744E-5</v>
      </c>
      <c r="K31" s="7">
        <f>sIR_m * pcd ^ 3 * 0.1</f>
        <v>3.8777787049091744E-5</v>
      </c>
    </row>
    <row r="32" spans="1:11" s="7" customFormat="1" x14ac:dyDescent="0.15">
      <c r="A32" s="7" t="s">
        <v>141</v>
      </c>
      <c r="B32" s="7">
        <v>7830</v>
      </c>
      <c r="C32" s="7">
        <v>208000000000</v>
      </c>
      <c r="D32" s="7">
        <v>0.28999999999999998</v>
      </c>
      <c r="E32" s="7">
        <v>5.9999999999999995E-8</v>
      </c>
      <c r="F32" s="7">
        <v>5.8900000000000003E-3</v>
      </c>
      <c r="G32" s="7">
        <v>1.6650000000000001E-4</v>
      </c>
      <c r="H32" s="7">
        <v>2.2200000000000002E-3</v>
      </c>
      <c r="I32" s="7">
        <f>PI()/ 6 * pcd^3 * SOR_rho</f>
        <v>1.2608740390905204</v>
      </c>
      <c r="J32" s="7">
        <f>sOR_m * pcd ^ 3 * 0.1</f>
        <v>3.8777787049091744E-5</v>
      </c>
      <c r="K32" s="7">
        <f>sOR_m * pcd ^ 3 * 0.1</f>
        <v>3.8777787049091744E-5</v>
      </c>
    </row>
    <row r="38" spans="1:7" ht="14.25" x14ac:dyDescent="0.15">
      <c r="A38" s="6" t="s">
        <v>147</v>
      </c>
    </row>
    <row r="39" spans="1:7" x14ac:dyDescent="0.15">
      <c r="A39" s="1" t="s">
        <v>107</v>
      </c>
      <c r="B39" s="1" t="s">
        <v>108</v>
      </c>
      <c r="C39" s="1" t="s">
        <v>20</v>
      </c>
      <c r="D39" s="1" t="s">
        <v>21</v>
      </c>
      <c r="E39" s="1" t="s">
        <v>109</v>
      </c>
      <c r="F39" s="1" t="s">
        <v>110</v>
      </c>
      <c r="G39" s="1" t="s">
        <v>111</v>
      </c>
    </row>
    <row r="40" spans="1:7" s="8" customFormat="1" x14ac:dyDescent="0.15">
      <c r="A40" s="8" t="s">
        <v>112</v>
      </c>
      <c r="B40" s="8">
        <v>0</v>
      </c>
      <c r="C40" s="8">
        <f t="shared" ref="C40:C50" si="0">SBall_rho</f>
        <v>7830</v>
      </c>
      <c r="D40" s="8">
        <f t="shared" ref="D40:D50" si="1">SBall_E</f>
        <v>208000000000</v>
      </c>
      <c r="E40" s="8">
        <f t="shared" ref="E40:E50" si="2">SBall_por</f>
        <v>0.28999999999999998</v>
      </c>
      <c r="F40" s="8">
        <f t="shared" ref="F40:F50" si="3">SBall_rms</f>
        <v>2E-8</v>
      </c>
      <c r="G40" s="8">
        <f t="shared" ref="G40:G50" si="4">BL_D</f>
        <v>1.1112500000000001E-2</v>
      </c>
    </row>
    <row r="41" spans="1:7" s="8" customFormat="1" x14ac:dyDescent="0.15">
      <c r="A41" s="8" t="s">
        <v>112</v>
      </c>
      <c r="B41" s="8">
        <v>1</v>
      </c>
      <c r="C41" s="8">
        <f t="shared" si="0"/>
        <v>7830</v>
      </c>
      <c r="D41" s="8">
        <f t="shared" si="1"/>
        <v>208000000000</v>
      </c>
      <c r="E41" s="8">
        <f t="shared" si="2"/>
        <v>0.28999999999999998</v>
      </c>
      <c r="F41" s="8">
        <f t="shared" si="3"/>
        <v>2E-8</v>
      </c>
      <c r="G41" s="8">
        <f t="shared" si="4"/>
        <v>1.1112500000000001E-2</v>
      </c>
    </row>
    <row r="42" spans="1:7" s="8" customFormat="1" x14ac:dyDescent="0.15">
      <c r="A42" s="8" t="s">
        <v>112</v>
      </c>
      <c r="B42" s="8">
        <v>2</v>
      </c>
      <c r="C42" s="8">
        <f t="shared" si="0"/>
        <v>7830</v>
      </c>
      <c r="D42" s="8">
        <f t="shared" si="1"/>
        <v>208000000000</v>
      </c>
      <c r="E42" s="8">
        <f t="shared" si="2"/>
        <v>0.28999999999999998</v>
      </c>
      <c r="F42" s="8">
        <f t="shared" si="3"/>
        <v>2E-8</v>
      </c>
      <c r="G42" s="8">
        <f t="shared" si="4"/>
        <v>1.1112500000000001E-2</v>
      </c>
    </row>
    <row r="43" spans="1:7" s="8" customFormat="1" x14ac:dyDescent="0.15">
      <c r="A43" s="8" t="s">
        <v>112</v>
      </c>
      <c r="B43" s="8">
        <v>3</v>
      </c>
      <c r="C43" s="8">
        <f t="shared" si="0"/>
        <v>7830</v>
      </c>
      <c r="D43" s="8">
        <f t="shared" si="1"/>
        <v>208000000000</v>
      </c>
      <c r="E43" s="8">
        <f t="shared" si="2"/>
        <v>0.28999999999999998</v>
      </c>
      <c r="F43" s="8">
        <f t="shared" si="3"/>
        <v>2E-8</v>
      </c>
      <c r="G43" s="8">
        <f t="shared" si="4"/>
        <v>1.1112500000000001E-2</v>
      </c>
    </row>
    <row r="44" spans="1:7" s="8" customFormat="1" x14ac:dyDescent="0.15">
      <c r="A44" s="8" t="s">
        <v>112</v>
      </c>
      <c r="B44" s="8">
        <v>4</v>
      </c>
      <c r="C44" s="8">
        <f t="shared" si="0"/>
        <v>7830</v>
      </c>
      <c r="D44" s="8">
        <f t="shared" si="1"/>
        <v>208000000000</v>
      </c>
      <c r="E44" s="8">
        <f t="shared" si="2"/>
        <v>0.28999999999999998</v>
      </c>
      <c r="F44" s="8">
        <f t="shared" si="3"/>
        <v>2E-8</v>
      </c>
      <c r="G44" s="8">
        <f t="shared" si="4"/>
        <v>1.1112500000000001E-2</v>
      </c>
    </row>
    <row r="45" spans="1:7" s="8" customFormat="1" x14ac:dyDescent="0.15">
      <c r="A45" s="8" t="s">
        <v>112</v>
      </c>
      <c r="B45" s="8">
        <v>5</v>
      </c>
      <c r="C45" s="8">
        <f t="shared" si="0"/>
        <v>7830</v>
      </c>
      <c r="D45" s="8">
        <f t="shared" si="1"/>
        <v>208000000000</v>
      </c>
      <c r="E45" s="8">
        <f t="shared" si="2"/>
        <v>0.28999999999999998</v>
      </c>
      <c r="F45" s="8">
        <f t="shared" si="3"/>
        <v>2E-8</v>
      </c>
      <c r="G45" s="8">
        <f t="shared" si="4"/>
        <v>1.1112500000000001E-2</v>
      </c>
    </row>
    <row r="46" spans="1:7" s="8" customFormat="1" x14ac:dyDescent="0.15">
      <c r="A46" s="8" t="s">
        <v>112</v>
      </c>
      <c r="B46" s="8">
        <v>6</v>
      </c>
      <c r="C46" s="8">
        <f t="shared" si="0"/>
        <v>7830</v>
      </c>
      <c r="D46" s="8">
        <f t="shared" si="1"/>
        <v>208000000000</v>
      </c>
      <c r="E46" s="8">
        <f t="shared" si="2"/>
        <v>0.28999999999999998</v>
      </c>
      <c r="F46" s="8">
        <f t="shared" si="3"/>
        <v>2E-8</v>
      </c>
      <c r="G46" s="8">
        <f t="shared" si="4"/>
        <v>1.1112500000000001E-2</v>
      </c>
    </row>
    <row r="47" spans="1:7" s="8" customFormat="1" x14ac:dyDescent="0.15">
      <c r="A47" s="8" t="s">
        <v>112</v>
      </c>
      <c r="B47" s="8">
        <v>7</v>
      </c>
      <c r="C47" s="8">
        <f t="shared" si="0"/>
        <v>7830</v>
      </c>
      <c r="D47" s="8">
        <f t="shared" si="1"/>
        <v>208000000000</v>
      </c>
      <c r="E47" s="8">
        <f t="shared" si="2"/>
        <v>0.28999999999999998</v>
      </c>
      <c r="F47" s="8">
        <f t="shared" si="3"/>
        <v>2E-8</v>
      </c>
      <c r="G47" s="8">
        <f t="shared" si="4"/>
        <v>1.1112500000000001E-2</v>
      </c>
    </row>
    <row r="48" spans="1:7" s="8" customFormat="1" x14ac:dyDescent="0.15">
      <c r="A48" s="8" t="s">
        <v>112</v>
      </c>
      <c r="B48" s="8">
        <v>8</v>
      </c>
      <c r="C48" s="8">
        <f t="shared" si="0"/>
        <v>7830</v>
      </c>
      <c r="D48" s="8">
        <f t="shared" si="1"/>
        <v>208000000000</v>
      </c>
      <c r="E48" s="8">
        <f t="shared" si="2"/>
        <v>0.28999999999999998</v>
      </c>
      <c r="F48" s="8">
        <f t="shared" si="3"/>
        <v>2E-8</v>
      </c>
      <c r="G48" s="8">
        <f t="shared" si="4"/>
        <v>1.1112500000000001E-2</v>
      </c>
    </row>
    <row r="49" spans="1:23" s="8" customFormat="1" x14ac:dyDescent="0.15">
      <c r="A49" s="8" t="s">
        <v>112</v>
      </c>
      <c r="B49" s="8">
        <v>9</v>
      </c>
      <c r="C49" s="8">
        <f t="shared" si="0"/>
        <v>7830</v>
      </c>
      <c r="D49" s="8">
        <f t="shared" si="1"/>
        <v>208000000000</v>
      </c>
      <c r="E49" s="8">
        <f t="shared" si="2"/>
        <v>0.28999999999999998</v>
      </c>
      <c r="F49" s="8">
        <f t="shared" si="3"/>
        <v>2E-8</v>
      </c>
      <c r="G49" s="8">
        <f t="shared" si="4"/>
        <v>1.1112500000000001E-2</v>
      </c>
    </row>
    <row r="50" spans="1:23" s="8" customFormat="1" x14ac:dyDescent="0.15">
      <c r="A50" s="8" t="s">
        <v>112</v>
      </c>
      <c r="B50" s="8">
        <v>10</v>
      </c>
      <c r="C50" s="8">
        <f t="shared" si="0"/>
        <v>7830</v>
      </c>
      <c r="D50" s="8">
        <f t="shared" si="1"/>
        <v>208000000000</v>
      </c>
      <c r="E50" s="8">
        <f t="shared" si="2"/>
        <v>0.28999999999999998</v>
      </c>
      <c r="F50" s="8">
        <f t="shared" si="3"/>
        <v>2E-8</v>
      </c>
      <c r="G50" s="8">
        <f t="shared" si="4"/>
        <v>1.1112500000000001E-2</v>
      </c>
    </row>
    <row r="52" spans="1:23" x14ac:dyDescent="0.15">
      <c r="A52" s="1" t="s">
        <v>113</v>
      </c>
      <c r="B52" s="1" t="s">
        <v>20</v>
      </c>
      <c r="C52" s="1" t="s">
        <v>21</v>
      </c>
      <c r="D52" s="1" t="s">
        <v>109</v>
      </c>
      <c r="E52" s="1" t="s">
        <v>118</v>
      </c>
      <c r="F52" s="1" t="s">
        <v>119</v>
      </c>
      <c r="G52" s="1" t="s">
        <v>120</v>
      </c>
      <c r="H52" s="1" t="s">
        <v>121</v>
      </c>
      <c r="I52" s="1" t="s">
        <v>122</v>
      </c>
      <c r="J52" s="1" t="s">
        <v>123</v>
      </c>
      <c r="K52" s="1" t="s">
        <v>114</v>
      </c>
      <c r="L52" s="1" t="s">
        <v>124</v>
      </c>
      <c r="M52" s="1" t="s">
        <v>115</v>
      </c>
      <c r="N52" s="1" t="s">
        <v>130</v>
      </c>
      <c r="O52" s="1" t="s">
        <v>125</v>
      </c>
      <c r="P52" s="1" t="s">
        <v>126</v>
      </c>
    </row>
    <row r="53" spans="1:23" s="8" customFormat="1" x14ac:dyDescent="0.15">
      <c r="A53" s="8" t="s">
        <v>116</v>
      </c>
      <c r="B53" s="8">
        <f>SIR_rho</f>
        <v>7830</v>
      </c>
      <c r="C53" s="8">
        <f>SIR_E</f>
        <v>208000000000</v>
      </c>
      <c r="D53" s="8">
        <f>SIR_por</f>
        <v>0.28999999999999998</v>
      </c>
      <c r="E53" s="8">
        <f>SIR_rms</f>
        <v>5.9999999999999995E-8</v>
      </c>
      <c r="F53" s="8">
        <f xml:space="preserve"> SIRgv_r</f>
        <v>5.8900000000000003E-3</v>
      </c>
      <c r="G53" s="8">
        <f>SIRgv_r</f>
        <v>5.8900000000000003E-3</v>
      </c>
      <c r="H53" s="8">
        <f xml:space="preserve"> SIR_ROx</f>
        <v>1.6650000000000001E-4</v>
      </c>
      <c r="I53" s="8">
        <f xml:space="preserve"> -SIR_ROx</f>
        <v>-1.6650000000000001E-4</v>
      </c>
      <c r="J53" s="8">
        <f xml:space="preserve"> IR_Rpcd_p</f>
        <v>6.8074504321505039E-2</v>
      </c>
      <c r="K53" s="8">
        <f>pcd - clr / 2 + 2 * SQRT((BL_D/2 - SIRgv_r)^2 - SIR_ROx^2)</f>
        <v>6.8074504321505039E-2</v>
      </c>
      <c r="L53" s="8">
        <f>SIR_h</f>
        <v>2.1800000000000001E-3</v>
      </c>
      <c r="M53" s="8">
        <f>SIR_h</f>
        <v>2.1800000000000001E-3</v>
      </c>
      <c r="N53" s="8">
        <f>sIR_m</f>
        <v>1.2608740390905204</v>
      </c>
      <c r="O53" s="8">
        <f>SIR_Ix</f>
        <v>3.8777787049091744E-5</v>
      </c>
      <c r="P53" s="8">
        <f>sIR_Iz</f>
        <v>3.8777787049091744E-5</v>
      </c>
    </row>
    <row r="54" spans="1:23" s="8" customFormat="1" x14ac:dyDescent="0.15">
      <c r="A54" s="8" t="s">
        <v>117</v>
      </c>
      <c r="B54" s="8">
        <f>SOR_rho</f>
        <v>7830</v>
      </c>
      <c r="C54" s="8">
        <f>SOR_E</f>
        <v>208000000000</v>
      </c>
      <c r="D54" s="8">
        <f>SOR_por</f>
        <v>0.28999999999999998</v>
      </c>
      <c r="E54" s="8">
        <f>SOR_rms</f>
        <v>5.9999999999999995E-8</v>
      </c>
      <c r="F54" s="8">
        <f xml:space="preserve"> SORgv_r</f>
        <v>5.8900000000000003E-3</v>
      </c>
      <c r="G54" s="8">
        <f>SORgv_r</f>
        <v>5.8900000000000003E-3</v>
      </c>
      <c r="H54" s="8">
        <f xml:space="preserve"> SOR_ROx</f>
        <v>1.6650000000000001E-4</v>
      </c>
      <c r="I54" s="8">
        <f xml:space="preserve"> -SOR_ROx</f>
        <v>-1.6650000000000001E-4</v>
      </c>
      <c r="J54" s="8">
        <f xml:space="preserve"> OR_Rpcd_p</f>
        <v>6.692549567849497E-2</v>
      </c>
      <c r="K54" s="8">
        <f>pcd + clr / 2 - 2 * SQRT((BL_D/2 - SORgv_r)^2 - SOR_ROx^2)</f>
        <v>6.692549567849497E-2</v>
      </c>
      <c r="L54" s="8">
        <f>SOR_h</f>
        <v>2.2200000000000002E-3</v>
      </c>
      <c r="M54" s="8">
        <f>SOR_h</f>
        <v>2.2200000000000002E-3</v>
      </c>
      <c r="N54" s="8">
        <f>sOR_m</f>
        <v>1.2608740390905204</v>
      </c>
      <c r="O54" s="8">
        <f>SOR_Ix</f>
        <v>3.8777787049091744E-5</v>
      </c>
      <c r="P54" s="8">
        <f>sOR_Iz</f>
        <v>3.8777787049091744E-5</v>
      </c>
    </row>
    <row r="58" spans="1:23" ht="14.25" x14ac:dyDescent="0.15">
      <c r="A58" s="4" t="s">
        <v>101</v>
      </c>
    </row>
    <row r="59" spans="1:23" x14ac:dyDescent="0.15">
      <c r="A59" s="1" t="s">
        <v>11</v>
      </c>
      <c r="B59" s="1" t="s">
        <v>143</v>
      </c>
    </row>
    <row r="60" spans="1:23" x14ac:dyDescent="0.15">
      <c r="A60" s="1" t="s">
        <v>139</v>
      </c>
      <c r="B60" s="1">
        <v>1</v>
      </c>
    </row>
    <row r="62" spans="1:23" x14ac:dyDescent="0.15">
      <c r="A62" s="1" t="s">
        <v>29</v>
      </c>
      <c r="B62" s="1" t="s">
        <v>20</v>
      </c>
      <c r="C62" s="1" t="s">
        <v>30</v>
      </c>
      <c r="D62" s="1" t="s">
        <v>22</v>
      </c>
      <c r="E62" s="1" t="s">
        <v>23</v>
      </c>
      <c r="F62" s="1" t="s">
        <v>136</v>
      </c>
      <c r="G62" s="1" t="s">
        <v>135</v>
      </c>
      <c r="H62" s="1" t="s">
        <v>132</v>
      </c>
      <c r="I62" s="1" t="s">
        <v>133</v>
      </c>
      <c r="J62" s="1" t="s">
        <v>134</v>
      </c>
      <c r="K62" s="1" t="s">
        <v>127</v>
      </c>
      <c r="L62" s="1" t="s">
        <v>128</v>
      </c>
      <c r="M62" s="1" t="s">
        <v>129</v>
      </c>
      <c r="N62" s="1" t="s">
        <v>131</v>
      </c>
      <c r="O62" s="1" t="s">
        <v>28</v>
      </c>
      <c r="P62" s="1" t="s">
        <v>125</v>
      </c>
      <c r="Q62" s="1" t="s">
        <v>126</v>
      </c>
      <c r="R62" s="1" t="s">
        <v>31</v>
      </c>
      <c r="S62" s="1" t="s">
        <v>32</v>
      </c>
      <c r="T62" s="1" t="s">
        <v>33</v>
      </c>
      <c r="U62" s="1" t="s">
        <v>34</v>
      </c>
      <c r="V62" s="1" t="s">
        <v>35</v>
      </c>
      <c r="W62" s="1" t="s">
        <v>36</v>
      </c>
    </row>
    <row r="63" spans="1:23" x14ac:dyDescent="0.15">
      <c r="A63" s="1" t="s">
        <v>37</v>
      </c>
      <c r="B63" s="1">
        <v>7800</v>
      </c>
      <c r="C63" s="1">
        <v>208000000000</v>
      </c>
      <c r="D63" s="1">
        <v>0.28999999999999998</v>
      </c>
      <c r="E63" s="1">
        <v>4.9999999999999998E-7</v>
      </c>
      <c r="F63" s="1">
        <v>7.22E-2</v>
      </c>
      <c r="G63" s="1">
        <v>6.2799999999999995E-2</v>
      </c>
      <c r="H63" s="1">
        <v>3.6999999999999999E-4</v>
      </c>
      <c r="I63" s="1">
        <v>8.3999999999999995E-3</v>
      </c>
      <c r="J63" s="1">
        <v>0</v>
      </c>
      <c r="K63" s="1">
        <f xml:space="preserve"> snap_h / 2</f>
        <v>4.1999999999999997E-3</v>
      </c>
      <c r="L63" s="1">
        <f xml:space="preserve"> 0</f>
        <v>0</v>
      </c>
      <c r="M63" s="1">
        <f xml:space="preserve"> 0</f>
        <v>0</v>
      </c>
      <c r="N63" s="1">
        <v>5.0600000000000005E-4</v>
      </c>
      <c r="O63" s="1">
        <f xml:space="preserve"> snap_den * (snap_do^ 2 - snap_din ^ 2)/ 4 * PI() * snap_h</f>
        <v>6.5301836047901227E-2</v>
      </c>
      <c r="P63" s="1">
        <f xml:space="preserve"> PI() / 32 * snap_den * snap_h * (snap_do ^ 4 - snap_din ^ 4)</f>
        <v>7.4743502012887043E-5</v>
      </c>
      <c r="Q63" s="1">
        <f xml:space="preserve"> PI() / 64 * snap_h * (snap_do ^ 4 - snap_din ^ 4)  + PI() / 12 * snap_den * snap_h^3 * (snap_do ^ 2 - snap_din ^ 2)</f>
        <v>1.5406904339756679E-6</v>
      </c>
      <c r="R63" s="1">
        <v>10000000</v>
      </c>
      <c r="S63" s="1">
        <v>10000000</v>
      </c>
      <c r="T63" s="1">
        <v>10000000</v>
      </c>
      <c r="U63" s="1">
        <v>10000000</v>
      </c>
      <c r="V63" s="1">
        <v>10000000</v>
      </c>
      <c r="W63" s="1">
        <v>10000000</v>
      </c>
    </row>
    <row r="66" spans="1:3" ht="9" customHeight="1" x14ac:dyDescent="0.15"/>
    <row r="68" spans="1:3" ht="14.25" x14ac:dyDescent="0.15">
      <c r="A68" s="4" t="s">
        <v>104</v>
      </c>
    </row>
    <row r="69" spans="1:3" x14ac:dyDescent="0.15">
      <c r="A69" s="1" t="s">
        <v>12</v>
      </c>
      <c r="B69" s="1" t="s">
        <v>144</v>
      </c>
    </row>
    <row r="70" spans="1:3" x14ac:dyDescent="0.15">
      <c r="A70" s="1" t="s">
        <v>13</v>
      </c>
      <c r="B70" s="1">
        <v>1</v>
      </c>
    </row>
    <row r="71" spans="1:3" x14ac:dyDescent="0.15">
      <c r="A71" s="1" t="s">
        <v>14</v>
      </c>
      <c r="B71" s="1" t="s">
        <v>15</v>
      </c>
    </row>
    <row r="72" spans="1:3" x14ac:dyDescent="0.15">
      <c r="A72" s="1" t="s">
        <v>16</v>
      </c>
      <c r="B72" s="1">
        <v>1</v>
      </c>
    </row>
    <row r="73" spans="1:3" x14ac:dyDescent="0.15">
      <c r="A73" s="1" t="s">
        <v>17</v>
      </c>
      <c r="B73" s="1" t="s">
        <v>18</v>
      </c>
      <c r="C73" s="1" t="s">
        <v>19</v>
      </c>
    </row>
    <row r="74" spans="1:3" x14ac:dyDescent="0.15">
      <c r="A74" s="1" t="s">
        <v>182</v>
      </c>
      <c r="B74" s="1">
        <v>1</v>
      </c>
      <c r="C74" s="1">
        <v>1000</v>
      </c>
    </row>
    <row r="75" spans="1:3" x14ac:dyDescent="0.15">
      <c r="A75" t="s">
        <v>183</v>
      </c>
      <c r="B75" t="s">
        <v>184</v>
      </c>
      <c r="C75" t="s">
        <v>185</v>
      </c>
    </row>
    <row r="76" spans="1:3" x14ac:dyDescent="0.15">
      <c r="A76" t="s">
        <v>186</v>
      </c>
      <c r="B76">
        <v>0</v>
      </c>
      <c r="C76">
        <v>1E-3</v>
      </c>
    </row>
    <row r="77" spans="1:3" x14ac:dyDescent="0.15">
      <c r="A77"/>
      <c r="B77"/>
      <c r="C77"/>
    </row>
    <row r="78" spans="1:3" x14ac:dyDescent="0.15">
      <c r="B78"/>
      <c r="C78"/>
    </row>
    <row r="79" spans="1:3" x14ac:dyDescent="0.15">
      <c r="A79"/>
      <c r="B79"/>
      <c r="C79"/>
    </row>
    <row r="81" spans="1:6" x14ac:dyDescent="0.15">
      <c r="A81" s="1" t="s">
        <v>38</v>
      </c>
      <c r="B81" s="1" t="s">
        <v>39</v>
      </c>
      <c r="C81" s="1" t="s">
        <v>40</v>
      </c>
      <c r="D81" s="1" t="s">
        <v>41</v>
      </c>
      <c r="E81" s="1" t="s">
        <v>42</v>
      </c>
      <c r="F81" s="1" t="s">
        <v>43</v>
      </c>
    </row>
    <row r="82" spans="1:6" x14ac:dyDescent="0.15">
      <c r="A82" s="1" t="s">
        <v>44</v>
      </c>
      <c r="B82" s="1">
        <v>0.2</v>
      </c>
      <c r="C82" s="1">
        <v>7.5000000000000002E-4</v>
      </c>
      <c r="D82" s="1">
        <v>0.14499999999999999</v>
      </c>
      <c r="E82" s="1">
        <v>0.105</v>
      </c>
      <c r="F82" s="1">
        <v>-1</v>
      </c>
    </row>
    <row r="83" spans="1:6" x14ac:dyDescent="0.15">
      <c r="A83" s="1" t="s">
        <v>45</v>
      </c>
      <c r="B83" s="1" t="s">
        <v>46</v>
      </c>
      <c r="C83" s="1" t="s">
        <v>47</v>
      </c>
    </row>
    <row r="84" spans="1:6" x14ac:dyDescent="0.15">
      <c r="A84" s="1" t="s">
        <v>48</v>
      </c>
      <c r="B84" s="1">
        <v>0.1</v>
      </c>
      <c r="C84" s="1">
        <v>0.2</v>
      </c>
    </row>
    <row r="85" spans="1:6" x14ac:dyDescent="0.15">
      <c r="A85" s="1" t="s">
        <v>49</v>
      </c>
      <c r="B85" s="1">
        <v>0.1</v>
      </c>
      <c r="C85" s="1">
        <v>0.2</v>
      </c>
    </row>
    <row r="86" spans="1:6" x14ac:dyDescent="0.15">
      <c r="A86" s="1" t="s">
        <v>50</v>
      </c>
      <c r="B86" s="1" t="s">
        <v>51</v>
      </c>
      <c r="C86" s="1" t="s">
        <v>52</v>
      </c>
    </row>
    <row r="87" spans="1:6" x14ac:dyDescent="0.15">
      <c r="A87" s="1" t="s">
        <v>53</v>
      </c>
      <c r="B87" s="1">
        <v>0</v>
      </c>
      <c r="C87" s="1">
        <v>0.1</v>
      </c>
    </row>
    <row r="90" spans="1:6" ht="14.25" x14ac:dyDescent="0.15">
      <c r="A90" s="4" t="s">
        <v>105</v>
      </c>
    </row>
    <row r="91" spans="1:6" x14ac:dyDescent="0.15">
      <c r="A91" s="1" t="s">
        <v>68</v>
      </c>
      <c r="B91" s="1" t="s">
        <v>69</v>
      </c>
      <c r="C91" s="1" t="s">
        <v>70</v>
      </c>
      <c r="D91" s="1" t="s">
        <v>71</v>
      </c>
      <c r="E91" s="1" t="s">
        <v>72</v>
      </c>
      <c r="F91" s="1" t="s">
        <v>73</v>
      </c>
    </row>
    <row r="92" spans="1:6" x14ac:dyDescent="0.15">
      <c r="A92" s="1" t="s">
        <v>74</v>
      </c>
      <c r="B92" s="1">
        <v>100</v>
      </c>
      <c r="C92" s="1">
        <v>0</v>
      </c>
      <c r="D92" s="1">
        <v>0</v>
      </c>
      <c r="E92" s="1">
        <v>0</v>
      </c>
      <c r="F92" s="1">
        <v>0</v>
      </c>
    </row>
    <row r="93" spans="1:6" x14ac:dyDescent="0.15">
      <c r="A93" s="1" t="s">
        <v>75</v>
      </c>
      <c r="B93" s="1" t="s">
        <v>76</v>
      </c>
      <c r="C93" s="1" t="s">
        <v>77</v>
      </c>
    </row>
    <row r="94" spans="1:6" x14ac:dyDescent="0.15">
      <c r="A94" s="1" t="s">
        <v>78</v>
      </c>
      <c r="B94" s="1">
        <v>-50</v>
      </c>
      <c r="C94" s="1">
        <v>0</v>
      </c>
    </row>
    <row r="95" spans="1:6" x14ac:dyDescent="0.15">
      <c r="A95" s="1" t="s">
        <v>54</v>
      </c>
      <c r="B95" s="1" t="s">
        <v>55</v>
      </c>
      <c r="C95" s="1" t="s">
        <v>56</v>
      </c>
      <c r="D95" s="1" t="s">
        <v>57</v>
      </c>
    </row>
    <row r="96" spans="1:6" x14ac:dyDescent="0.15">
      <c r="A96" s="1" t="s">
        <v>58</v>
      </c>
      <c r="B96" s="1">
        <v>0</v>
      </c>
      <c r="C96" s="1">
        <v>0</v>
      </c>
      <c r="D96" s="1">
        <v>-9.8066499999999994</v>
      </c>
    </row>
    <row r="98" spans="1:8" x14ac:dyDescent="0.15">
      <c r="A98" s="9" t="s">
        <v>59</v>
      </c>
      <c r="B98" s="9" t="s">
        <v>166</v>
      </c>
      <c r="C98" s="9" t="s">
        <v>167</v>
      </c>
      <c r="D98" s="9" t="s">
        <v>168</v>
      </c>
      <c r="E98" s="9" t="s">
        <v>169</v>
      </c>
      <c r="F98" s="9" t="s">
        <v>170</v>
      </c>
      <c r="G98" s="9" t="s">
        <v>171</v>
      </c>
    </row>
    <row r="99" spans="1:8" x14ac:dyDescent="0.15">
      <c r="A99" s="9" t="s">
        <v>180</v>
      </c>
      <c r="B99" s="9">
        <v>0</v>
      </c>
      <c r="C99" s="9">
        <v>0</v>
      </c>
      <c r="D99" s="9">
        <v>0</v>
      </c>
      <c r="E99" s="9">
        <v>1</v>
      </c>
      <c r="F99" s="9">
        <v>0</v>
      </c>
      <c r="G99" s="9">
        <v>0</v>
      </c>
    </row>
    <row r="100" spans="1:8" x14ac:dyDescent="0.15">
      <c r="A100" s="9" t="s">
        <v>60</v>
      </c>
      <c r="B100" s="9" t="s">
        <v>61</v>
      </c>
      <c r="C100" s="9" t="s">
        <v>62</v>
      </c>
      <c r="D100" s="9" t="s">
        <v>63</v>
      </c>
      <c r="E100" s="9" t="s">
        <v>64</v>
      </c>
      <c r="F100" s="9" t="s">
        <v>65</v>
      </c>
      <c r="G100" s="9" t="s">
        <v>66</v>
      </c>
      <c r="H100" s="1" t="s">
        <v>67</v>
      </c>
    </row>
    <row r="101" spans="1:8" x14ac:dyDescent="0.15">
      <c r="A101" s="9" t="s">
        <v>173</v>
      </c>
      <c r="B101" s="9">
        <v>0</v>
      </c>
      <c r="C101" s="9">
        <v>0</v>
      </c>
      <c r="D101" s="9">
        <v>0</v>
      </c>
      <c r="E101" s="9">
        <v>1</v>
      </c>
      <c r="F101" s="9">
        <v>0</v>
      </c>
      <c r="G101" s="9">
        <v>0</v>
      </c>
    </row>
    <row r="102" spans="1:8" x14ac:dyDescent="0.15">
      <c r="A102" s="9" t="s">
        <v>60</v>
      </c>
      <c r="B102" s="9" t="s">
        <v>174</v>
      </c>
      <c r="C102" s="9" t="s">
        <v>175</v>
      </c>
      <c r="D102" s="9" t="s">
        <v>176</v>
      </c>
      <c r="E102" s="9" t="s">
        <v>177</v>
      </c>
      <c r="F102" s="9" t="s">
        <v>178</v>
      </c>
      <c r="G102" s="9" t="s">
        <v>179</v>
      </c>
    </row>
    <row r="103" spans="1:8" x14ac:dyDescent="0.15">
      <c r="A103" s="9" t="s">
        <v>172</v>
      </c>
      <c r="B103" s="9">
        <v>0</v>
      </c>
      <c r="C103" s="9">
        <v>0</v>
      </c>
      <c r="D103" s="9">
        <v>0</v>
      </c>
      <c r="E103" s="9">
        <v>1</v>
      </c>
      <c r="F103" s="9">
        <v>0</v>
      </c>
      <c r="G103" s="9">
        <v>0</v>
      </c>
    </row>
    <row r="106" spans="1:8" ht="14.25" x14ac:dyDescent="0.15">
      <c r="A106" s="4" t="s">
        <v>155</v>
      </c>
    </row>
    <row r="107" spans="1:8" x14ac:dyDescent="0.15">
      <c r="A107" s="1" t="s">
        <v>96</v>
      </c>
      <c r="B107" s="1" t="s">
        <v>97</v>
      </c>
      <c r="C107" s="1" t="s">
        <v>98</v>
      </c>
    </row>
    <row r="108" spans="1:8" x14ac:dyDescent="0.15">
      <c r="A108" s="1" t="s">
        <v>99</v>
      </c>
      <c r="B108" s="1">
        <v>1.0000000000000001E-5</v>
      </c>
      <c r="C108" s="1">
        <v>0.01</v>
      </c>
    </row>
    <row r="109" spans="1:8" x14ac:dyDescent="0.15">
      <c r="A109" s="1" t="s">
        <v>79</v>
      </c>
      <c r="B109" s="1" t="s">
        <v>80</v>
      </c>
      <c r="C109" s="1" t="s">
        <v>81</v>
      </c>
      <c r="D109" s="1" t="s">
        <v>82</v>
      </c>
      <c r="E109" s="1" t="s">
        <v>83</v>
      </c>
      <c r="F109" s="1" t="s">
        <v>84</v>
      </c>
      <c r="G109" s="1" t="s">
        <v>85</v>
      </c>
    </row>
    <row r="110" spans="1:8" x14ac:dyDescent="0.15">
      <c r="A110" s="1" t="s">
        <v>86</v>
      </c>
      <c r="B110" s="1">
        <v>10</v>
      </c>
      <c r="C110" s="1">
        <v>10000</v>
      </c>
      <c r="D110" s="1">
        <v>1E-4</v>
      </c>
      <c r="E110" s="1">
        <v>1.0000000000000001E-9</v>
      </c>
      <c r="F110" s="1">
        <v>1E-3</v>
      </c>
      <c r="G110" s="1">
        <v>1</v>
      </c>
    </row>
    <row r="111" spans="1:8" x14ac:dyDescent="0.15">
      <c r="A111" s="5" t="s">
        <v>157</v>
      </c>
      <c r="B111" s="5" t="s">
        <v>156</v>
      </c>
    </row>
    <row r="112" spans="1:8" x14ac:dyDescent="0.15">
      <c r="A112" s="5" t="s">
        <v>164</v>
      </c>
      <c r="B112" s="5">
        <v>1</v>
      </c>
    </row>
    <row r="113" spans="1:9" x14ac:dyDescent="0.15">
      <c r="A113" s="5" t="s">
        <v>158</v>
      </c>
      <c r="B113" s="5" t="s">
        <v>159</v>
      </c>
      <c r="C113" s="1" t="s">
        <v>165</v>
      </c>
      <c r="D113" s="1" t="s">
        <v>162</v>
      </c>
    </row>
    <row r="114" spans="1:9" x14ac:dyDescent="0.15">
      <c r="A114" s="5" t="s">
        <v>160</v>
      </c>
      <c r="B114" s="5">
        <v>0</v>
      </c>
      <c r="C114" s="1">
        <v>1E-3</v>
      </c>
      <c r="D114" s="1">
        <v>10</v>
      </c>
    </row>
    <row r="115" spans="1:9" x14ac:dyDescent="0.15">
      <c r="A115" s="5"/>
      <c r="B115" s="5"/>
    </row>
    <row r="116" spans="1:9" ht="14.25" x14ac:dyDescent="0.15">
      <c r="A116" s="4" t="s">
        <v>106</v>
      </c>
    </row>
    <row r="117" spans="1:9" x14ac:dyDescent="0.15">
      <c r="A117" s="9" t="s">
        <v>87</v>
      </c>
      <c r="B117" s="9" t="s">
        <v>181</v>
      </c>
      <c r="C117" s="9" t="s">
        <v>88</v>
      </c>
      <c r="D117" s="9" t="s">
        <v>89</v>
      </c>
      <c r="E117" s="9" t="s">
        <v>90</v>
      </c>
      <c r="F117" s="9" t="s">
        <v>91</v>
      </c>
      <c r="G117" s="9" t="s">
        <v>92</v>
      </c>
      <c r="H117" s="9" t="s">
        <v>93</v>
      </c>
      <c r="I117" s="9" t="s">
        <v>94</v>
      </c>
    </row>
    <row r="118" spans="1:9" x14ac:dyDescent="0.15">
      <c r="A118" s="9" t="s">
        <v>95</v>
      </c>
      <c r="B118" s="9" t="s">
        <v>181</v>
      </c>
      <c r="C118" s="9" t="s">
        <v>88</v>
      </c>
      <c r="D118" s="9" t="s">
        <v>89</v>
      </c>
      <c r="E118" s="9" t="s">
        <v>90</v>
      </c>
      <c r="F118" s="9" t="s">
        <v>91</v>
      </c>
      <c r="G118" s="9" t="s">
        <v>92</v>
      </c>
      <c r="H118" s="9" t="s">
        <v>93</v>
      </c>
      <c r="I118" s="9" t="s">
        <v>94</v>
      </c>
    </row>
    <row r="120" spans="1:9" x14ac:dyDescent="0.15">
      <c r="A120" s="1" t="s">
        <v>161</v>
      </c>
      <c r="B120" s="1" t="s">
        <v>146</v>
      </c>
      <c r="C120" s="1" t="s">
        <v>163</v>
      </c>
    </row>
    <row r="121" spans="1:9" x14ac:dyDescent="0.15">
      <c r="A121" s="1" t="s">
        <v>145</v>
      </c>
      <c r="B121" s="1">
        <v>1</v>
      </c>
      <c r="C121" s="1">
        <v>0</v>
      </c>
    </row>
  </sheetData>
  <phoneticPr fontId="18"/>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ave_Copy_Sheet">
                <anchor moveWithCells="1" sizeWithCells="1">
                  <from>
                    <xdr:col>5</xdr:col>
                    <xdr:colOff>257175</xdr:colOff>
                    <xdr:row>2</xdr:row>
                    <xdr:rowOff>66675</xdr:rowOff>
                  </from>
                  <to>
                    <xdr:col>8</xdr:col>
                    <xdr:colOff>457200</xdr:colOff>
                    <xdr:row>6</xdr:row>
                    <xdr:rowOff>95250</xdr:rowOff>
                  </to>
                </anchor>
              </controlPr>
            </control>
          </mc:Choice>
        </mc:AlternateContent>
        <mc:AlternateContent xmlns:mc="http://schemas.openxmlformats.org/markup-compatibility/2006">
          <mc:Choice Requires="x14">
            <control shapeId="1028" r:id="rId5" name="Button 4">
              <controlPr defaultSize="0" print="0" autoFill="0" autoPict="0" macro="[0]!calc_ringmass_ROx">
                <anchor moveWithCells="1" sizeWithCells="1">
                  <from>
                    <xdr:col>8</xdr:col>
                    <xdr:colOff>495300</xdr:colOff>
                    <xdr:row>34</xdr:row>
                    <xdr:rowOff>85725</xdr:rowOff>
                  </from>
                  <to>
                    <xdr:col>10</xdr:col>
                    <xdr:colOff>838200</xdr:colOff>
                    <xdr:row>37</xdr:row>
                    <xdr:rowOff>85725</xdr:rowOff>
                  </to>
                </anchor>
              </controlPr>
            </control>
          </mc:Choice>
        </mc:AlternateContent>
        <mc:AlternateContent xmlns:mc="http://schemas.openxmlformats.org/markup-compatibility/2006">
          <mc:Choice Requires="x14">
            <control shapeId="1036" r:id="rId6" name="Option Button 12">
              <controlPr defaultSize="0" autoFill="0" autoLine="0" autoPict="0" macro="[0]!ROx_input">
                <anchor moveWithCells="1">
                  <from>
                    <xdr:col>0</xdr:col>
                    <xdr:colOff>1123950</xdr:colOff>
                    <xdr:row>22</xdr:row>
                    <xdr:rowOff>28575</xdr:rowOff>
                  </from>
                  <to>
                    <xdr:col>2</xdr:col>
                    <xdr:colOff>85725</xdr:colOff>
                    <xdr:row>23</xdr:row>
                    <xdr:rowOff>66675</xdr:rowOff>
                  </to>
                </anchor>
              </controlPr>
            </control>
          </mc:Choice>
        </mc:AlternateContent>
        <mc:AlternateContent xmlns:mc="http://schemas.openxmlformats.org/markup-compatibility/2006">
          <mc:Choice Requires="x14">
            <control shapeId="1037" r:id="rId7" name="Option Button 13">
              <controlPr defaultSize="0" autoFill="0" autoLine="0" autoPict="0" macro="[0]!detail_input">
                <anchor moveWithCells="1">
                  <from>
                    <xdr:col>2</xdr:col>
                    <xdr:colOff>657225</xdr:colOff>
                    <xdr:row>22</xdr:row>
                    <xdr:rowOff>47625</xdr:rowOff>
                  </from>
                  <to>
                    <xdr:col>3</xdr:col>
                    <xdr:colOff>1000125</xdr:colOff>
                    <xdr:row>23</xdr:row>
                    <xdr:rowOff>38100</xdr:rowOff>
                  </to>
                </anchor>
              </controlPr>
            </control>
          </mc:Choice>
        </mc:AlternateContent>
        <mc:AlternateContent xmlns:mc="http://schemas.openxmlformats.org/markup-compatibility/2006">
          <mc:Choice Requires="x14">
            <control shapeId="1038" r:id="rId8" name="Group Box 14">
              <controlPr defaultSize="0" autoFill="0" autoPict="0">
                <anchor moveWithCells="1">
                  <from>
                    <xdr:col>0</xdr:col>
                    <xdr:colOff>352425</xdr:colOff>
                    <xdr:row>21</xdr:row>
                    <xdr:rowOff>9525</xdr:rowOff>
                  </from>
                  <to>
                    <xdr:col>6</xdr:col>
                    <xdr:colOff>114300</xdr:colOff>
                    <xdr:row>24</xdr:row>
                    <xdr:rowOff>0</xdr:rowOff>
                  </to>
                </anchor>
              </controlPr>
            </control>
          </mc:Choice>
        </mc:AlternateContent>
        <mc:AlternateContent xmlns:mc="http://schemas.openxmlformats.org/markup-compatibility/2006">
          <mc:Choice Requires="x14">
            <control shapeId="1045" r:id="rId9" name="Button 21">
              <controlPr defaultSize="0" print="0" autoFill="0" autoPict="0" macro="[0]!calc_snapG">
                <anchor moveWithCells="1" sizeWithCells="1">
                  <from>
                    <xdr:col>10</xdr:col>
                    <xdr:colOff>304800</xdr:colOff>
                    <xdr:row>64</xdr:row>
                    <xdr:rowOff>57150</xdr:rowOff>
                  </from>
                  <to>
                    <xdr:col>12</xdr:col>
                    <xdr:colOff>514350</xdr:colOff>
                    <xdr:row>67</xdr:row>
                    <xdr:rowOff>95250</xdr:rowOff>
                  </to>
                </anchor>
              </controlPr>
            </control>
          </mc:Choice>
        </mc:AlternateContent>
        <mc:AlternateContent xmlns:mc="http://schemas.openxmlformats.org/markup-compatibility/2006">
          <mc:Choice Requires="x14">
            <control shapeId="1046" r:id="rId10" name="Button 22">
              <controlPr defaultSize="0" print="0" autoFill="0" autoPict="0" macro="[0]!calc_snapcageMI">
                <anchor moveWithCells="1" sizeWithCells="1">
                  <from>
                    <xdr:col>14</xdr:col>
                    <xdr:colOff>85725</xdr:colOff>
                    <xdr:row>64</xdr:row>
                    <xdr:rowOff>95250</xdr:rowOff>
                  </from>
                  <to>
                    <xdr:col>16</xdr:col>
                    <xdr:colOff>428625</xdr:colOff>
                    <xdr:row>67</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80</vt:i4>
      </vt:variant>
    </vt:vector>
  </HeadingPairs>
  <TitlesOfParts>
    <vt:vector size="81" baseType="lpstr">
      <vt:lpstr>d4b1_in</vt:lpstr>
      <vt:lpstr>Ball_D</vt:lpstr>
      <vt:lpstr>Ball_E</vt:lpstr>
      <vt:lpstr>Ball_num</vt:lpstr>
      <vt:lpstr>Ball_por</vt:lpstr>
      <vt:lpstr>Ball_rho</vt:lpstr>
      <vt:lpstr>Ball_rms</vt:lpstr>
      <vt:lpstr>ball_Z</vt:lpstr>
      <vt:lpstr>BL_D</vt:lpstr>
      <vt:lpstr>clr</vt:lpstr>
      <vt:lpstr>IR_E</vt:lpstr>
      <vt:lpstr>IR_h_n</vt:lpstr>
      <vt:lpstr>IR_h_p</vt:lpstr>
      <vt:lpstr>IR_Ix</vt:lpstr>
      <vt:lpstr>IR_Iz</vt:lpstr>
      <vt:lpstr>IR_m</vt:lpstr>
      <vt:lpstr>IR_por</vt:lpstr>
      <vt:lpstr>IR_rho</vt:lpstr>
      <vt:lpstr>IR_rms</vt:lpstr>
      <vt:lpstr>IR_ROx</vt:lpstr>
      <vt:lpstr>IR_ROx_n</vt:lpstr>
      <vt:lpstr>IR_ROx_p</vt:lpstr>
      <vt:lpstr>IR_Rpcd_n</vt:lpstr>
      <vt:lpstr>IR_Rpcd_p</vt:lpstr>
      <vt:lpstr>IR_Rr_n</vt:lpstr>
      <vt:lpstr>IR_Rr_p</vt:lpstr>
      <vt:lpstr>IRgv_r</vt:lpstr>
      <vt:lpstr>OR_E</vt:lpstr>
      <vt:lpstr>OR_h_n</vt:lpstr>
      <vt:lpstr>OR_h_p</vt:lpstr>
      <vt:lpstr>OR_Ix</vt:lpstr>
      <vt:lpstr>OR_Iz</vt:lpstr>
      <vt:lpstr>OR_m</vt:lpstr>
      <vt:lpstr>OR_por</vt:lpstr>
      <vt:lpstr>OR_rho</vt:lpstr>
      <vt:lpstr>OR_rms</vt:lpstr>
      <vt:lpstr>OR_ROx_n</vt:lpstr>
      <vt:lpstr>OR_ROx_p</vt:lpstr>
      <vt:lpstr>OR_Rpcd_n</vt:lpstr>
      <vt:lpstr>OR_Rpcd_p</vt:lpstr>
      <vt:lpstr>OR_Rr_n</vt:lpstr>
      <vt:lpstr>OR_Rr_p</vt:lpstr>
      <vt:lpstr>pcd</vt:lpstr>
      <vt:lpstr>rho_iROx</vt:lpstr>
      <vt:lpstr>rho_oROx</vt:lpstr>
      <vt:lpstr>SBall_E</vt:lpstr>
      <vt:lpstr>SBall_por</vt:lpstr>
      <vt:lpstr>SBall_rho</vt:lpstr>
      <vt:lpstr>SBall_rms</vt:lpstr>
      <vt:lpstr>SIR_E</vt:lpstr>
      <vt:lpstr>SIR_h</vt:lpstr>
      <vt:lpstr>SIR_Ix</vt:lpstr>
      <vt:lpstr>sIR_Iy</vt:lpstr>
      <vt:lpstr>sIR_Iz</vt:lpstr>
      <vt:lpstr>sIR_m</vt:lpstr>
      <vt:lpstr>SIR_por</vt:lpstr>
      <vt:lpstr>SIR_rho</vt:lpstr>
      <vt:lpstr>SIR_rms</vt:lpstr>
      <vt:lpstr>SIR_ROx</vt:lpstr>
      <vt:lpstr>SIRgv_r</vt:lpstr>
      <vt:lpstr>snap_den</vt:lpstr>
      <vt:lpstr>snap_din</vt:lpstr>
      <vt:lpstr>snap_do</vt:lpstr>
      <vt:lpstr>snap_Gx</vt:lpstr>
      <vt:lpstr>snap_Gy</vt:lpstr>
      <vt:lpstr>snap_Gz</vt:lpstr>
      <vt:lpstr>snap_h</vt:lpstr>
      <vt:lpstr>snap_Ix</vt:lpstr>
      <vt:lpstr>snap_Iyz</vt:lpstr>
      <vt:lpstr>snap_m</vt:lpstr>
      <vt:lpstr>SOR_E</vt:lpstr>
      <vt:lpstr>SOR_h</vt:lpstr>
      <vt:lpstr>SOR_Ix</vt:lpstr>
      <vt:lpstr>sOR_Iy</vt:lpstr>
      <vt:lpstr>sOR_Iz</vt:lpstr>
      <vt:lpstr>sOR_m</vt:lpstr>
      <vt:lpstr>SOR_por</vt:lpstr>
      <vt:lpstr>SOR_rho</vt:lpstr>
      <vt:lpstr>SOR_rms</vt:lpstr>
      <vt:lpstr>SOR_ROx</vt:lpstr>
      <vt:lpstr>SORgv_r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SHOICHI KASHIWABARA</dc:creator>
  <cp:lastModifiedBy>SHOICHI KASHIWABARA</cp:lastModifiedBy>
  <dcterms:created xsi:type="dcterms:W3CDTF">2020-12-21T07:52:50Z</dcterms:created>
  <dcterms:modified xsi:type="dcterms:W3CDTF">2021-10-12T10:02:35Z</dcterms:modified>
</cp:coreProperties>
</file>